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Interview Tracker" sheetId="3" state="visible" r:id="rId3"/>
    <sheet xmlns:r="http://schemas.openxmlformats.org/officeDocument/2006/relationships" name="Recruiter CRM" sheetId="4" state="visible" r:id="rId4"/>
    <sheet xmlns:r="http://schemas.openxmlformats.org/officeDocument/2006/relationships" name="Target Companies" sheetId="5" state="visible" r:id="rId5"/>
    <sheet xmlns:r="http://schemas.openxmlformats.org/officeDocument/2006/relationships" name="Salary Comparison" sheetId="6" state="visible" r:id="rId6"/>
    <sheet xmlns:r="http://schemas.openxmlformats.org/officeDocument/2006/relationships" name="Weekly Planner" sheetId="7" state="visible" r:id="rId7"/>
    <sheet xmlns:r="http://schemas.openxmlformats.org/officeDocument/2006/relationships" name="Statistics" sheetId="8" state="visible" r:id="rId8"/>
    <sheet xmlns:r="http://schemas.openxmlformats.org/officeDocument/2006/relationships" name="Notes" sheetId="9" state="visible" r:id="rId9"/>
    <sheet xmlns:r="http://schemas.openxmlformats.org/officeDocument/2006/relationships" name="Portfolio Projects" sheetId="10" state="visible" r:id="rId10"/>
    <sheet xmlns:r="http://schemas.openxmlformats.org/officeDocument/2006/relationships" name="Networking Tracker" sheetId="11" state="visible" r:id="rId11"/>
    <sheet xmlns:r="http://schemas.openxmlformats.org/officeDocument/2006/relationships" name="Skill Gap Analysis" sheetId="12" state="visible" r:id="rId12"/>
    <sheet xmlns:r="http://schemas.openxmlformats.org/officeDocument/2006/relationships" name="Cover Letter Tracker" sheetId="13" state="visible" r:id="rId13"/>
    <sheet xmlns:r="http://schemas.openxmlformats.org/officeDocument/2006/relationships" name="Job Search Calendar" sheetId="14" state="visible" r:id="rId14"/>
    <sheet xmlns:r="http://schemas.openxmlformats.org/officeDocument/2006/relationships" name="Learning Resources" sheetId="15" state="visible" r:id="rId15"/>
    <sheet xmlns:r="http://schemas.openxmlformats.org/officeDocument/2006/relationships" name="Offer Decision Matrix" sheetId="16" state="visible" r:id="rId16"/>
  </sheets>
  <definedNames>
    <definedName name="_xlnm._FilterDatabase" localSheetId="1" hidden="1">'Applications'!$A$1:$AG$500</definedName>
    <definedName name="_xlnm._FilterDatabase" localSheetId="2" hidden="1">'Interview Tracker'!$A$1:$Q$500</definedName>
    <definedName name="_xlnm._FilterDatabase" localSheetId="3" hidden="1">'Recruiter CRM'!$A$1:$O$500</definedName>
    <definedName name="_xlnm._FilterDatabase" localSheetId="4" hidden="1">'Target Companies'!$A$1:$S$500</definedName>
    <definedName name="_xlnm._FilterDatabase" localSheetId="5" hidden="1">'Salary Comparison'!$A$1:$S$500</definedName>
    <definedName name="_xlnm._FilterDatabase" localSheetId="6" hidden="1">'Weekly Planner'!$A$1:$H$500</definedName>
    <definedName name="_xlnm._FilterDatabase" localSheetId="9" hidden="1">'Portfolio Projects'!$A$1:$O$500</definedName>
    <definedName name="_xlnm._FilterDatabase" localSheetId="10" hidden="1">'Networking Tracker'!$A$1:$S$500</definedName>
    <definedName name="_xlnm._FilterDatabase" localSheetId="11" hidden="1">'Skill Gap Analysis'!$A$1:$R$500</definedName>
    <definedName name="_xlnm._FilterDatabase" localSheetId="12" hidden="1">'Cover Letter Tracker'!$A$1:$L$500</definedName>
    <definedName name="_xlnm._FilterDatabase" localSheetId="13" hidden="1">'Job Search Calendar'!$A$1:$K$500</definedName>
    <definedName name="_xlnm._FilterDatabase" localSheetId="14" hidden="1">'Learning Resources'!$A$1:$N$500</definedName>
    <definedName name="_xlnm._FilterDatabase" localSheetId="15" hidden="1">'Offer Decision Matrix'!$A$1:$S$500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0.0"/>
  </numFmts>
  <fonts count="22">
    <font>
      <name val="Calibri"/>
      <family val="2"/>
      <color theme="1"/>
      <sz val="11"/>
      <scheme val="minor"/>
    </font>
    <font>
      <name val="Segoe UI"/>
      <b val="1"/>
      <color rgb="00222222"/>
      <sz val="24"/>
    </font>
    <font>
      <name val="Segoe UI"/>
      <b val="1"/>
      <color rgb="00222222"/>
      <sz val="11"/>
    </font>
    <font>
      <name val="Segoe UI"/>
      <b val="1"/>
      <color rgb="00FF6B35"/>
      <sz val="14"/>
    </font>
    <font>
      <name val="Segoe UI"/>
      <b val="1"/>
      <color rgb="00FFFFFF"/>
      <sz val="12"/>
    </font>
    <font>
      <name val="Segoe UI"/>
      <color rgb="00222222"/>
      <sz val="10"/>
    </font>
    <font>
      <name val="Segoe UI"/>
      <b val="1"/>
      <color rgb="00FFFFFF"/>
      <sz val="10"/>
    </font>
    <font>
      <name val="Segoe UI"/>
      <color rgb="001E2A38"/>
      <sz val="10"/>
    </font>
    <font>
      <name val="Segoe UI"/>
      <b val="1"/>
      <color rgb="001B2A4A"/>
      <sz val="20"/>
    </font>
    <font>
      <name val="Segoe UI"/>
      <color rgb="006B7B8D"/>
      <sz val="10"/>
    </font>
    <font>
      <name val="Segoe UI"/>
      <b val="1"/>
      <color rgb="006B7B8D"/>
      <sz val="9"/>
    </font>
    <font>
      <name val="Segoe UI"/>
      <b val="1"/>
      <color rgb="002E5BBA"/>
      <sz val="22"/>
    </font>
    <font>
      <name val="Segoe UI"/>
      <b val="1"/>
      <color rgb="008B5CF6"/>
      <sz val="22"/>
    </font>
    <font>
      <name val="Segoe UI"/>
      <b val="1"/>
      <color rgb="00F59E0B"/>
      <sz val="22"/>
    </font>
    <font>
      <name val="Segoe UI"/>
      <b val="1"/>
      <color rgb="0022C55E"/>
      <sz val="22"/>
    </font>
    <font>
      <name val="Segoe UI"/>
      <b val="1"/>
      <color rgb="0014B8A6"/>
      <sz val="22"/>
    </font>
    <font>
      <name val="Segoe UI"/>
      <b val="1"/>
      <color rgb="00EF4444"/>
      <sz val="22"/>
    </font>
    <font>
      <name val="Segoe UI"/>
      <b val="1"/>
      <color rgb="006B7B8D"/>
      <sz val="22"/>
    </font>
    <font>
      <name val="Segoe UI"/>
      <b val="1"/>
      <color rgb="001B2A4A"/>
      <sz val="12"/>
    </font>
    <font>
      <name val="Segoe UI"/>
      <b val="1"/>
      <color rgb="002E5BBA"/>
      <sz val="16"/>
    </font>
    <font>
      <name val="Segoe UI"/>
      <b val="1"/>
      <color rgb="001B2A4A"/>
      <sz val="18"/>
    </font>
    <font>
      <name val="Segoe UI"/>
      <b val="1"/>
      <color rgb="002E5BBA"/>
      <sz val="12"/>
    </font>
  </fonts>
  <fills count="14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222222"/>
        <bgColor rgb="00222222"/>
      </patternFill>
    </fill>
    <fill>
      <patternFill patternType="solid">
        <fgColor rgb="001B2A4A"/>
        <bgColor rgb="001B2A4A"/>
      </patternFill>
    </fill>
    <fill>
      <patternFill patternType="solid">
        <fgColor rgb="00EDF0F5"/>
        <bgColor rgb="00EDF0F5"/>
      </patternFill>
    </fill>
    <fill>
      <patternFill patternType="solid">
        <fgColor rgb="00EFF6FF"/>
        <bgColor rgb="00EFF6FF"/>
      </patternFill>
    </fill>
    <fill>
      <patternFill patternType="solid">
        <fgColor rgb="00F5F3FF"/>
        <bgColor rgb="00F5F3FF"/>
      </patternFill>
    </fill>
    <fill>
      <patternFill patternType="solid">
        <fgColor rgb="00FFFBEB"/>
        <bgColor rgb="00FFFBEB"/>
      </patternFill>
    </fill>
    <fill>
      <patternFill patternType="solid">
        <fgColor rgb="00ECFDF5"/>
        <bgColor rgb="00ECFDF5"/>
      </patternFill>
    </fill>
    <fill>
      <patternFill patternType="solid">
        <fgColor rgb="00F0FDFA"/>
        <bgColor rgb="00F0FDFA"/>
      </patternFill>
    </fill>
    <fill>
      <patternFill patternType="solid">
        <fgColor rgb="00FEF2F2"/>
        <bgColor rgb="00FEF2F2"/>
      </patternFill>
    </fill>
    <fill>
      <patternFill patternType="solid">
        <fgColor rgb="00F8F9FB"/>
        <bgColor rgb="00F8F9FB"/>
      </patternFill>
    </fill>
  </fills>
  <borders count="11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bottom style="medium">
        <color rgb="002E5BBA"/>
      </bottom>
    </border>
    <border>
      <left/>
      <right/>
      <top/>
      <bottom style="medium">
        <color rgb="002E5BBA"/>
      </bottom>
      <diagonal/>
    </border>
    <border>
      <left style="thin">
        <color rgb="00C4CCD7"/>
      </left>
      <right style="thin">
        <color rgb="00C4CCD7"/>
      </right>
      <top style="thin">
        <color rgb="00C4CCD7"/>
      </top>
    </border>
    <border>
      <left/>
      <right/>
      <top style="thin">
        <color rgb="00C4CCD7"/>
      </top>
      <bottom/>
      <diagonal/>
    </border>
    <border>
      <left/>
      <right style="thin">
        <color rgb="00C4CCD7"/>
      </right>
      <top style="thin">
        <color rgb="00C4CCD7"/>
      </top>
      <bottom/>
      <diagonal/>
    </border>
    <border>
      <left style="thin">
        <color rgb="00C4CCD7"/>
      </left>
      <right style="thin">
        <color rgb="00C4CCD7"/>
      </right>
      <bottom style="thin">
        <color rgb="00C4CCD7"/>
      </bottom>
    </border>
    <border>
      <left/>
      <right style="thin">
        <color rgb="00C4CCD7"/>
      </right>
      <top/>
      <bottom/>
      <diagonal/>
    </border>
    <border>
      <left/>
      <right style="thin">
        <color rgb="00C4CCD7"/>
      </right>
      <top/>
      <bottom style="thin">
        <color rgb="00C4CCD7"/>
      </bottom>
      <diagonal/>
    </border>
    <border>
      <right style="thin">
        <color rgb="00C4CCD7"/>
      </right>
      <bottom style="thin">
        <color rgb="00C4CCD7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9" fontId="3" fillId="3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0" fontId="0" fillId="13" borderId="0" pivotButton="0" quotePrefix="0" xfId="0"/>
    <xf numFmtId="0" fontId="8" fillId="1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0" fillId="13" borderId="2" pivotButton="0" quotePrefix="0" xfId="0"/>
    <xf numFmtId="0" fontId="0" fillId="13" borderId="3" pivotButton="0" quotePrefix="0" xfId="0"/>
    <xf numFmtId="0" fontId="10" fillId="7" borderId="4" applyAlignment="1" pivotButton="0" quotePrefix="0" xfId="0">
      <alignment horizontal="center" vertical="center"/>
    </xf>
    <xf numFmtId="0" fontId="0" fillId="13" borderId="6" pivotButton="0" quotePrefix="0" xfId="0"/>
    <xf numFmtId="0" fontId="10" fillId="8" borderId="4" applyAlignment="1" pivotButton="0" quotePrefix="0" xfId="0">
      <alignment horizontal="center" vertical="center"/>
    </xf>
    <xf numFmtId="0" fontId="10" fillId="9" borderId="4" applyAlignment="1" pivotButton="0" quotePrefix="0" xfId="0">
      <alignment horizontal="center" vertical="center"/>
    </xf>
    <xf numFmtId="0" fontId="10" fillId="10" borderId="4" applyAlignment="1" pivotButton="0" quotePrefix="0" xfId="0">
      <alignment horizontal="center" vertical="center"/>
    </xf>
    <xf numFmtId="1" fontId="11" fillId="7" borderId="7" applyAlignment="1" pivotButton="0" quotePrefix="0" xfId="0">
      <alignment horizontal="center" vertical="center"/>
    </xf>
    <xf numFmtId="0" fontId="0" fillId="13" borderId="9" pivotButton="0" quotePrefix="0" xfId="0"/>
    <xf numFmtId="1" fontId="12" fillId="8" borderId="7" applyAlignment="1" pivotButton="0" quotePrefix="0" xfId="0">
      <alignment horizontal="center" vertical="center"/>
    </xf>
    <xf numFmtId="1" fontId="13" fillId="9" borderId="7" applyAlignment="1" pivotButton="0" quotePrefix="0" xfId="0">
      <alignment horizontal="center" vertical="center"/>
    </xf>
    <xf numFmtId="1" fontId="14" fillId="10" borderId="7" applyAlignment="1" pivotButton="0" quotePrefix="0" xfId="0">
      <alignment horizontal="center" vertical="center"/>
    </xf>
    <xf numFmtId="0" fontId="10" fillId="11" borderId="4" applyAlignment="1" pivotButton="0" quotePrefix="0" xfId="0">
      <alignment horizontal="center" vertical="center"/>
    </xf>
    <xf numFmtId="1" fontId="15" fillId="11" borderId="7" applyAlignment="1" pivotButton="0" quotePrefix="0" xfId="0">
      <alignment horizontal="center" vertical="center"/>
    </xf>
    <xf numFmtId="0" fontId="10" fillId="12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1" fontId="16" fillId="12" borderId="7" applyAlignment="1" pivotButton="0" quotePrefix="0" xfId="0">
      <alignment horizontal="center" vertical="center"/>
    </xf>
    <xf numFmtId="1" fontId="17" fillId="6" borderId="7" applyAlignment="1" pivotButton="0" quotePrefix="0" xfId="0">
      <alignment horizontal="center" vertical="center"/>
    </xf>
    <xf numFmtId="9" fontId="11" fillId="7" borderId="7" applyAlignment="1" pivotButton="0" quotePrefix="0" xfId="0">
      <alignment horizontal="center" vertical="center"/>
    </xf>
    <xf numFmtId="0" fontId="18" fillId="13" borderId="0" pivotButton="0" quotePrefix="0" xfId="0"/>
    <xf numFmtId="166" fontId="11" fillId="7" borderId="7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 wrapText="1"/>
    </xf>
    <xf numFmtId="0" fontId="19" fillId="7" borderId="7" applyAlignment="1" pivotButton="0" quotePrefix="0" xfId="0">
      <alignment horizontal="left" vertical="center" wrapText="1"/>
    </xf>
    <xf numFmtId="0" fontId="9" fillId="7" borderId="10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5" fontId="7" fillId="3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0" fontId="20" fillId="13" borderId="0" pivotButton="0" quotePrefix="0" xfId="0"/>
    <xf numFmtId="0" fontId="9" fillId="13" borderId="0" pivotButton="0" quotePrefix="0" xfId="0"/>
    <xf numFmtId="0" fontId="21" fillId="13" borderId="0" pivotButton="0" quotePrefix="0" xfId="0"/>
    <xf numFmtId="0" fontId="7" fillId="13" borderId="1" applyAlignment="1" pivotButton="0" quotePrefix="0" xfId="0">
      <alignment horizontal="left" vertical="center" wrapText="1"/>
    </xf>
    <xf numFmtId="1" fontId="21" fillId="13" borderId="1" applyAlignment="1" pivotButton="0" quotePrefix="0" xfId="0">
      <alignment horizontal="center" vertical="center" wrapText="1"/>
    </xf>
    <xf numFmtId="9" fontId="21" fillId="13" borderId="1" applyAlignment="1" pivotButton="0" quotePrefix="0" xfId="0">
      <alignment horizontal="center" vertical="center" wrapText="1"/>
    </xf>
    <xf numFmtId="166" fontId="21" fillId="6" borderId="1" applyAlignment="1" pivotButton="0" quotePrefix="0" xfId="0">
      <alignment horizontal="center" vertical="center" wrapText="1"/>
    </xf>
    <xf numFmtId="9" fontId="21" fillId="6" borderId="1" applyAlignment="1" pivotButton="0" quotePrefix="0" xfId="0">
      <alignment horizontal="center" vertical="center" wrapText="1"/>
    </xf>
    <xf numFmtId="166" fontId="21" fillId="13" borderId="1" applyAlignment="1" pivotButton="0" quotePrefix="0" xfId="0">
      <alignment horizontal="center" vertical="center" wrapText="1"/>
    </xf>
    <xf numFmtId="1" fontId="21" fillId="6" borderId="1" applyAlignment="1" pivotButton="0" quotePrefix="0" xfId="0">
      <alignment horizontal="center" vertical="center" wrapText="1"/>
    </xf>
    <xf numFmtId="164" fontId="21" fillId="13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9" fontId="7" fillId="6" borderId="1" applyAlignment="1" pivotButton="0" quotePrefix="0" xfId="0">
      <alignment horizontal="left" vertical="center" wrapText="1"/>
    </xf>
    <xf numFmtId="9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Segoe UI"/>
        <b val="1"/>
        <color rgb="001E40AF"/>
        <sz val="10"/>
      </font>
      <fill>
        <patternFill patternType="solid">
          <fgColor rgb="00EFF6FF"/>
          <bgColor rgb="00EFF6FF"/>
        </patternFill>
      </fill>
    </dxf>
    <dxf>
      <font>
        <name val="Segoe UI"/>
        <b val="1"/>
        <color rgb="006B21A8"/>
        <sz val="10"/>
      </font>
      <fill>
        <patternFill patternType="solid">
          <fgColor rgb="00F5F3FF"/>
          <bgColor rgb="00F5F3FF"/>
        </patternFill>
      </fill>
    </dxf>
    <dxf>
      <font>
        <name val="Segoe UI"/>
        <b val="1"/>
        <color rgb="0092400E"/>
        <sz val="10"/>
      </font>
      <fill>
        <patternFill patternType="solid">
          <fgColor rgb="00FEF7E6"/>
          <bgColor rgb="00FEF7E6"/>
        </patternFill>
      </fill>
    </dxf>
    <dxf>
      <font>
        <name val="Segoe UI"/>
        <b val="1"/>
        <color rgb="00166534"/>
        <sz val="10"/>
      </font>
      <fill>
        <patternFill patternType="solid">
          <fgColor rgb="00E8FBEF"/>
          <bgColor rgb="00E8FBEF"/>
        </patternFill>
      </fill>
    </dxf>
    <dxf>
      <font>
        <name val="Segoe UI"/>
        <b val="1"/>
        <color rgb="00991B1B"/>
        <sz val="10"/>
      </font>
      <fill>
        <patternFill patternType="solid">
          <fgColor rgb="00FDEAEA"/>
          <bgColor rgb="00FDEAEA"/>
        </patternFill>
      </fill>
    </dxf>
    <dxf>
      <font>
        <name val="Segoe UI"/>
        <b val="1"/>
        <color rgb="006B7B8D"/>
        <sz val="10"/>
      </font>
      <fill>
        <patternFill patternType="solid">
          <fgColor rgb="00EDF0F5"/>
          <bgColor rgb="00EDF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'Dashboard'!$B$53:$B$58</f>
            </numRef>
          </cat>
          <val>
            <numRef>
              <f>'Dashboard'!$C$53:$C$58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'Dashboard'!$B$31:$B$41</f>
            </numRef>
          </cat>
          <val>
            <numRef>
              <f>'Dashboard'!$C$31:$C$41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Source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'Dashboard'!$E$31:$E$39</f>
            </numRef>
          </cat>
          <val>
            <numRef>
              <f>'Dashboard'!$F$31:$F$39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Type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'Dashboard'!$B$46:$B$49</f>
            </numRef>
          </cat>
          <val>
            <numRef>
              <f>'Dashboard'!$C$46:$C$49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5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'Dashboard'!$E$46:$E$49</f>
            </numRef>
          </cat>
          <val>
            <numRef>
              <f>'Dashboard'!$F$46:$F$49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Interview Funnel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'Dashboard'!$E$53:$E$57</f>
            </numRef>
          </cat>
          <val>
            <numRef>
              <f>'Dashboard'!$F$53:$F$57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39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52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52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I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" customWidth="1" min="10" max="10"/>
  </cols>
  <sheetData>
    <row r="1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36" customHeight="1">
      <c r="A2" s="18" t="n"/>
      <c r="B2" s="19" t="inlineStr">
        <is>
          <t>Developer Job Application Tracker PRO</t>
        </is>
      </c>
      <c r="C2" s="18" t="n"/>
      <c r="D2" s="18" t="n"/>
      <c r="E2" s="18" t="n"/>
      <c r="F2" s="18" t="n"/>
      <c r="G2" s="18" t="n"/>
      <c r="H2" s="18" t="n"/>
      <c r="I2" s="18" t="n"/>
    </row>
    <row r="3">
      <c r="A3" s="18" t="n"/>
      <c r="B3" s="20" t="inlineStr">
        <is>
          <t>Executive Dashboard  ·  v3.0  ·  CreatorDockStudio</t>
        </is>
      </c>
      <c r="C3" s="18" t="n"/>
      <c r="D3" s="18" t="n"/>
      <c r="E3" s="18" t="n"/>
      <c r="F3" s="18" t="n"/>
      <c r="G3" s="18" t="n"/>
      <c r="H3" s="18" t="n"/>
      <c r="I3" s="18" t="n"/>
    </row>
    <row r="4" ht="4" customHeight="1">
      <c r="A4" s="18" t="n"/>
      <c r="B4" s="21" t="n"/>
      <c r="C4" s="22" t="n"/>
      <c r="D4" s="22" t="n"/>
      <c r="E4" s="22" t="n"/>
      <c r="F4" s="22" t="n"/>
      <c r="G4" s="22" t="n"/>
      <c r="H4" s="22" t="n"/>
      <c r="I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</row>
    <row r="6" ht="20" customHeight="1">
      <c r="A6" s="18" t="n"/>
      <c r="B6" s="23" t="inlineStr">
        <is>
          <t>Total Applications</t>
        </is>
      </c>
      <c r="C6" s="24" t="n"/>
      <c r="D6" s="25" t="inlineStr">
        <is>
          <t>Active Applications</t>
        </is>
      </c>
      <c r="E6" s="24" t="n"/>
      <c r="F6" s="26" t="inlineStr">
        <is>
          <t>Interviews</t>
        </is>
      </c>
      <c r="G6" s="24" t="n"/>
      <c r="H6" s="27" t="inlineStr">
        <is>
          <t>Offers</t>
        </is>
      </c>
      <c r="I6" s="24" t="n"/>
    </row>
    <row r="7" ht="40" customHeight="1">
      <c r="A7" s="18" t="n"/>
      <c r="B7" s="28">
        <f>COUNTA(Applications!B2:B500)</f>
        <v/>
      </c>
      <c r="C7" s="29" t="n"/>
      <c r="D7" s="30">
        <f>COUNTIFS(Applications!J2:J500,"&lt;&gt;Rejected",Applications!J2:J500,"&lt;&gt;Ghosted",Applications!J2:J500,"&lt;&gt;Withdrawn",Applications!J2:J500,"&lt;&gt;Accepted",Applications!B2:B500,"&lt;&gt;")</f>
        <v/>
      </c>
      <c r="E7" s="29" t="n"/>
      <c r="F7" s="31">
        <f>COUNTIFS(Applications!J2:J500,"*Interview*",Applications!B2:B500,"&lt;&gt;")</f>
        <v/>
      </c>
      <c r="G7" s="29" t="n"/>
      <c r="H7" s="32">
        <f>COUNTIFS(Applications!J2:J500,"Offer",Applications!B2:B500,"&lt;&gt;")+COUNTIFS(Applications!J2:J500,"Accepted",Applications!B2:B500,"&lt;&gt;")</f>
        <v/>
      </c>
      <c r="I7" s="29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</row>
    <row r="9" ht="20" customHeight="1">
      <c r="A9" s="18" t="n"/>
      <c r="B9" s="26" t="inlineStr">
        <is>
          <t>Technical Interviews</t>
        </is>
      </c>
      <c r="C9" s="24" t="n"/>
      <c r="D9" s="33" t="inlineStr">
        <is>
          <t>HR Interviews</t>
        </is>
      </c>
      <c r="E9" s="24" t="n"/>
      <c r="F9" s="25" t="inlineStr">
        <is>
          <t>Final Interviews</t>
        </is>
      </c>
      <c r="G9" s="24" t="n"/>
      <c r="H9" s="27" t="inlineStr">
        <is>
          <t>Accepted Offers</t>
        </is>
      </c>
      <c r="I9" s="24" t="n"/>
    </row>
    <row r="10" ht="40" customHeight="1">
      <c r="A10" s="18" t="n"/>
      <c r="B10" s="31">
        <f>COUNTIFS(Applications!J2:J500,"Technical Interview",Applications!B2:B500,"&lt;&gt;")</f>
        <v/>
      </c>
      <c r="C10" s="29" t="n"/>
      <c r="D10" s="34">
        <f>COUNTIFS(Applications!J2:J500,"HR Interview",Applications!B2:B500,"&lt;&gt;")</f>
        <v/>
      </c>
      <c r="E10" s="29" t="n"/>
      <c r="F10" s="30">
        <f>COUNTIFS(Applications!J2:J500,"Final Interview",Applications!B2:B500,"&lt;&gt;")</f>
        <v/>
      </c>
      <c r="G10" s="29" t="n"/>
      <c r="H10" s="32">
        <f>COUNTIFS(Applications!J2:J500,"Accepted",Applications!B2:B500,"&lt;&gt;")</f>
        <v/>
      </c>
      <c r="I10" s="29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 ht="20" customHeight="1">
      <c r="A12" s="18" t="n"/>
      <c r="B12" s="35" t="inlineStr">
        <is>
          <t>Rejections</t>
        </is>
      </c>
      <c r="C12" s="24" t="n"/>
      <c r="D12" s="36" t="inlineStr">
        <is>
          <t>Ghosted</t>
        </is>
      </c>
      <c r="E12" s="24" t="n"/>
      <c r="F12" s="23" t="inlineStr">
        <is>
          <t>Pending Responses</t>
        </is>
      </c>
      <c r="G12" s="24" t="n"/>
      <c r="H12" s="23" t="inlineStr">
        <is>
          <t>Response Rate</t>
        </is>
      </c>
      <c r="I12" s="24" t="n"/>
    </row>
    <row r="13" ht="40" customHeight="1">
      <c r="A13" s="18" t="n"/>
      <c r="B13" s="37">
        <f>COUNTIFS(Applications!J2:J500,"Rejected",Applications!B2:B500,"&lt;&gt;")</f>
        <v/>
      </c>
      <c r="C13" s="29" t="n"/>
      <c r="D13" s="38">
        <f>COUNTIFS(Applications!J2:J500,"Ghosted",Applications!B2:B500,"&lt;&gt;")</f>
        <v/>
      </c>
      <c r="E13" s="29" t="n"/>
      <c r="F13" s="28">
        <f>COUNTIFS(Applications!J2:J500,"Applied",Applications!B2:B500,"&lt;&gt;")+COUNTIFS(Applications!J2:J500,"Screening",Applications!B2:B500,"&lt;&gt;")</f>
        <v/>
      </c>
      <c r="G13" s="29" t="n"/>
      <c r="H13" s="39">
        <f>IFERROR(ROUND((COUNTIFS(Applications!J2:J500,"&lt;&gt;Applied",Applications!J2:J500,"&lt;&gt;",Applications!B2:B500,"&lt;&gt;")-COUNTIFS(Applications!J2:J500,"Ghosted",Applications!B2:B500,"&lt;&gt;"))/COUNTA(Applications!B2:B500),2),0)</f>
        <v/>
      </c>
      <c r="I13" s="29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40" t="inlineStr">
        <is>
          <t>Performance Metrics</t>
        </is>
      </c>
      <c r="C15" s="18" t="n"/>
      <c r="D15" s="18" t="n"/>
      <c r="E15" s="18" t="n"/>
      <c r="F15" s="18" t="n"/>
      <c r="G15" s="18" t="n"/>
      <c r="H15" s="18" t="n"/>
      <c r="I15" s="18" t="n"/>
    </row>
    <row r="16" ht="20" customHeight="1">
      <c r="A16" s="18" t="n"/>
      <c r="B16" s="23" t="inlineStr">
        <is>
          <t>Interview Rate</t>
        </is>
      </c>
      <c r="C16" s="24" t="n"/>
      <c r="D16" s="23" t="inlineStr">
        <is>
          <t>Offer Rate</t>
        </is>
      </c>
      <c r="E16" s="24" t="n"/>
      <c r="F16" s="23" t="inlineStr">
        <is>
          <t>Success Rate</t>
        </is>
      </c>
      <c r="G16" s="24" t="n"/>
      <c r="H16" s="18" t="n"/>
      <c r="I16" s="18" t="n"/>
    </row>
    <row r="17" ht="40" customHeight="1">
      <c r="A17" s="18" t="n"/>
      <c r="B17" s="39">
        <f>IFERROR(ROUND(COUNTIFS(Applications!J2:J500,"*Interview*",Applications!B2:B500,"&lt;&gt;")/COUNTA(Applications!B2:B500),2),0)</f>
        <v/>
      </c>
      <c r="C17" s="29" t="n"/>
      <c r="D17" s="39">
        <f>IFERROR(ROUND((COUNTIFS(Applications!J2:J500,"Offer",Applications!B2:B500,"&lt;&gt;")+COUNTIFS(Applications!J2:J500,"Accepted",Applications!B2:B500,"&lt;&gt;"))/COUNTA(Applications!B2:B500),2),0)</f>
        <v/>
      </c>
      <c r="E17" s="29" t="n"/>
      <c r="F17" s="39">
        <f>IFERROR(ROUND(COUNTIFS(Applications!J2:J500,"Accepted",Applications!B2:B500,"&lt;&gt;")/COUNTA(Applications!B2:B500),2),0)</f>
        <v/>
      </c>
      <c r="G17" s="29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 ht="20" customHeight="1">
      <c r="A19" s="18" t="n"/>
      <c r="B19" s="23" t="inlineStr">
        <is>
          <t>Avg Fit Score</t>
        </is>
      </c>
      <c r="C19" s="24" t="n"/>
      <c r="D19" s="23" t="inlineStr">
        <is>
          <t>Avg Decision Score</t>
        </is>
      </c>
      <c r="E19" s="24" t="n"/>
      <c r="F19" s="23" t="inlineStr">
        <is>
          <t>Ghost Rate</t>
        </is>
      </c>
      <c r="G19" s="24" t="n"/>
      <c r="H19" s="18" t="n"/>
      <c r="I19" s="18" t="n"/>
    </row>
    <row r="20" ht="40" customHeight="1">
      <c r="A20" s="18" t="n"/>
      <c r="B20" s="28">
        <f>IFERROR(ROUND(AVERAGEIF(Applications!L2:L500,"&gt;0"),0),0)</f>
        <v/>
      </c>
      <c r="C20" s="29" t="n"/>
      <c r="D20" s="41">
        <f>IFERROR(ROUND(AVERAGE('Offer Decision Matrix'!R2:R500),1),0)</f>
        <v/>
      </c>
      <c r="E20" s="29" t="n"/>
      <c r="F20" s="39">
        <f>IFERROR(ROUND(COUNTIFS(Applications!J2:J500,"Ghosted",Applications!B2:B500,"&lt;&gt;")/COUNTA(Applications!B2:B500),2),0)</f>
        <v/>
      </c>
      <c r="G20" s="29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40" t="inlineStr">
        <is>
          <t>Goal Progress</t>
        </is>
      </c>
      <c r="C22" s="18" t="n"/>
      <c r="D22" s="18" t="n"/>
      <c r="E22" s="18" t="n"/>
      <c r="F22" s="18" t="n"/>
      <c r="G22" s="18" t="n"/>
      <c r="H22" s="18" t="n"/>
      <c r="I22" s="18" t="n"/>
    </row>
    <row r="23" ht="20" customHeight="1">
      <c r="A23" s="18" t="n"/>
      <c r="B23" s="42" t="inlineStr">
        <is>
          <t>Monthly Goal</t>
        </is>
      </c>
      <c r="C23" s="18" t="n"/>
      <c r="D23" s="42" t="inlineStr">
        <is>
          <t>Weekly Goal</t>
        </is>
      </c>
      <c r="E23" s="18" t="n"/>
      <c r="F23" s="42" t="inlineStr">
        <is>
          <t>Interviews Goal</t>
        </is>
      </c>
      <c r="G23" s="18" t="n"/>
      <c r="H23" s="42" t="inlineStr">
        <is>
          <t>Networking Goal</t>
        </is>
      </c>
      <c r="I23" s="18" t="n"/>
    </row>
    <row r="24" ht="32" customHeight="1">
      <c r="A24" s="18" t="n"/>
      <c r="B24" s="43">
        <f>COUNTIFS(Applications!I2:I500,"&gt;="&amp;EOMONTH(TODAY(),-1)+1,Applications!I2:I500,"&lt;="&amp;EOMONTH(TODAY(),0))</f>
        <v/>
      </c>
      <c r="C24" s="44">
        <f>"/ "&amp;50</f>
        <v/>
      </c>
      <c r="D24" s="43">
        <f>COUNTIFS(Applications!I2:I500,"&gt;="&amp;TODAY()-WEEKDAY(TODAY())+1,Applications!I2:I500,"&lt;="&amp;TODAY()-WEEKDAY(TODAY())+7)</f>
        <v/>
      </c>
      <c r="E24" s="44">
        <f>"/ "&amp;10</f>
        <v/>
      </c>
      <c r="F24" s="43">
        <f>COUNTIFS(Applications!J2:J500,"*Interview*",Applications!I2:I500,"&gt;="&amp;EOMONTH(TODAY(),-1)+1)</f>
        <v/>
      </c>
      <c r="G24" s="44">
        <f>"/ "&amp;5</f>
        <v/>
      </c>
      <c r="H24" s="43">
        <f>COUNTA('Networking Tracker'!A2:A500)</f>
        <v/>
      </c>
      <c r="I24" s="44">
        <f>"/ "&amp;20</f>
        <v/>
      </c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 hidden="1">
      <c r="B30" t="inlineStr">
        <is>
          <t>Status</t>
        </is>
      </c>
      <c r="C30" t="inlineStr">
        <is>
          <t>Count</t>
        </is>
      </c>
      <c r="E30" t="inlineStr">
        <is>
          <t>Source</t>
        </is>
      </c>
      <c r="F30" t="inlineStr">
        <is>
          <t>Count</t>
        </is>
      </c>
    </row>
    <row r="31" hidden="1">
      <c r="B31" t="inlineStr">
        <is>
          <t>Applied</t>
        </is>
      </c>
      <c r="C31">
        <f>COUNTIFS(Applications!J2:J500,"Applied",Applications!B2:B500,"&lt;&gt;")</f>
        <v/>
      </c>
      <c r="E31" t="inlineStr">
        <is>
          <t>LinkedIn</t>
        </is>
      </c>
      <c r="F31">
        <f>COUNTIFS(Applications!H2:H500,"LinkedIn",Applications!B2:B500,"&lt;&gt;")</f>
        <v/>
      </c>
    </row>
    <row r="32" hidden="1">
      <c r="B32" t="inlineStr">
        <is>
          <t>Screening</t>
        </is>
      </c>
      <c r="C32">
        <f>COUNTIFS(Applications!J2:J500,"Screening",Applications!B2:B500,"&lt;&gt;")</f>
        <v/>
      </c>
      <c r="E32" t="inlineStr">
        <is>
          <t>Indeed</t>
        </is>
      </c>
      <c r="F32">
        <f>COUNTIFS(Applications!H2:H500,"Indeed",Applications!B2:B500,"&lt;&gt;")</f>
        <v/>
      </c>
    </row>
    <row r="33" hidden="1">
      <c r="B33" t="inlineStr">
        <is>
          <t>Phone Screen</t>
        </is>
      </c>
      <c r="C33">
        <f>COUNTIFS(Applications!J2:J500,"Phone Screen",Applications!B2:B500,"&lt;&gt;")</f>
        <v/>
      </c>
      <c r="E33" t="inlineStr">
        <is>
          <t>AngelList</t>
        </is>
      </c>
      <c r="F33">
        <f>COUNTIFS(Applications!H2:H500,"AngelList",Applications!B2:B500,"&lt;&gt;")</f>
        <v/>
      </c>
    </row>
    <row r="34" hidden="1">
      <c r="B34" t="inlineStr">
        <is>
          <t>Technical Interview</t>
        </is>
      </c>
      <c r="C34">
        <f>COUNTIFS(Applications!J2:J500,"Technical Interview",Applications!B2:B500,"&lt;&gt;")</f>
        <v/>
      </c>
      <c r="E34" t="inlineStr">
        <is>
          <t>Glassdoor</t>
        </is>
      </c>
      <c r="F34">
        <f>COUNTIFS(Applications!H2:H500,"Glassdoor",Applications!B2:B500,"&lt;&gt;")</f>
        <v/>
      </c>
    </row>
    <row r="35" hidden="1">
      <c r="B35" t="inlineStr">
        <is>
          <t>HR Interview</t>
        </is>
      </c>
      <c r="C35">
        <f>COUNTIFS(Applications!J2:J500,"HR Interview",Applications!B2:B500,"&lt;&gt;")</f>
        <v/>
      </c>
      <c r="E35" t="inlineStr">
        <is>
          <t>Company Website</t>
        </is>
      </c>
      <c r="F35">
        <f>COUNTIFS(Applications!H2:H500,"Company Website",Applications!B2:B500,"&lt;&gt;")</f>
        <v/>
      </c>
    </row>
    <row r="36" hidden="1">
      <c r="B36" t="inlineStr">
        <is>
          <t>Final Interview</t>
        </is>
      </c>
      <c r="C36">
        <f>COUNTIFS(Applications!J2:J500,"Final Interview",Applications!B2:B500,"&lt;&gt;")</f>
        <v/>
      </c>
      <c r="E36" t="inlineStr">
        <is>
          <t>Referral</t>
        </is>
      </c>
      <c r="F36">
        <f>COUNTIFS(Applications!H2:H500,"Referral",Applications!B2:B500,"&lt;&gt;")</f>
        <v/>
      </c>
    </row>
    <row r="37" hidden="1">
      <c r="B37" t="inlineStr">
        <is>
          <t>Offer</t>
        </is>
      </c>
      <c r="C37">
        <f>COUNTIFS(Applications!J2:J500,"Offer",Applications!B2:B500,"&lt;&gt;")</f>
        <v/>
      </c>
      <c r="E37" t="inlineStr">
        <is>
          <t>Recruiter</t>
        </is>
      </c>
      <c r="F37">
        <f>COUNTIFS(Applications!H2:H500,"Recruiter",Applications!B2:B500,"&lt;&gt;")</f>
        <v/>
      </c>
    </row>
    <row r="38" hidden="1">
      <c r="B38" t="inlineStr">
        <is>
          <t>Accepted</t>
        </is>
      </c>
      <c r="C38">
        <f>COUNTIFS(Applications!J2:J500,"Accepted",Applications!B2:B500,"&lt;&gt;")</f>
        <v/>
      </c>
      <c r="E38" t="inlineStr">
        <is>
          <t>Job Fair</t>
        </is>
      </c>
      <c r="F38">
        <f>COUNTIFS(Applications!H2:H500,"Job Fair",Applications!B2:B500,"&lt;&gt;")</f>
        <v/>
      </c>
    </row>
    <row r="39" hidden="1">
      <c r="B39" t="inlineStr">
        <is>
          <t>Rejected</t>
        </is>
      </c>
      <c r="C39">
        <f>COUNTIFS(Applications!J2:J500,"Rejected",Applications!B2:B500,"&lt;&gt;")</f>
        <v/>
      </c>
      <c r="E39" t="inlineStr">
        <is>
          <t>Other</t>
        </is>
      </c>
      <c r="F39">
        <f>COUNTIFS(Applications!H2:H500,"Other",Applications!B2:B500,"&lt;&gt;")</f>
        <v/>
      </c>
    </row>
    <row r="40" hidden="1">
      <c r="B40" t="inlineStr">
        <is>
          <t>Ghosted</t>
        </is>
      </c>
      <c r="C40">
        <f>COUNTIFS(Applications!J2:J500,"Ghosted",Applications!B2:B500,"&lt;&gt;")</f>
        <v/>
      </c>
    </row>
    <row r="41" hidden="1">
      <c r="B41" t="inlineStr">
        <is>
          <t>Withdrawn</t>
        </is>
      </c>
      <c r="C41">
        <f>COUNTIFS(Applications!J2:J500,"Withdrawn",Applications!B2:B500,"&lt;&gt;")</f>
        <v/>
      </c>
    </row>
    <row r="42" hidden="1"/>
    <row r="43" hidden="1"/>
    <row r="44" hidden="1"/>
    <row r="45" hidden="1">
      <c r="B45" t="inlineStr">
        <is>
          <t>Work Type</t>
        </is>
      </c>
      <c r="C45" t="inlineStr">
        <is>
          <t>Count</t>
        </is>
      </c>
      <c r="E45" t="inlineStr">
        <is>
          <t>Priority</t>
        </is>
      </c>
      <c r="F45" t="inlineStr">
        <is>
          <t>Count</t>
        </is>
      </c>
    </row>
    <row r="46" hidden="1">
      <c r="B46" t="inlineStr">
        <is>
          <t>Remote</t>
        </is>
      </c>
      <c r="C46">
        <f>COUNTIFS(Applications!F2:F500,"Remote",Applications!B2:B500,"&lt;&gt;")</f>
        <v/>
      </c>
      <c r="E46" t="inlineStr">
        <is>
          <t>Critical</t>
        </is>
      </c>
      <c r="F46">
        <f>COUNTIFS(Applications!K2:K500,"Critical",Applications!B2:B500,"&lt;&gt;")</f>
        <v/>
      </c>
    </row>
    <row r="47" hidden="1">
      <c r="B47" t="inlineStr">
        <is>
          <t>Hybrid</t>
        </is>
      </c>
      <c r="C47">
        <f>COUNTIFS(Applications!F2:F500,"Hybrid",Applications!B2:B500,"&lt;&gt;")</f>
        <v/>
      </c>
      <c r="E47" t="inlineStr">
        <is>
          <t>High</t>
        </is>
      </c>
      <c r="F47">
        <f>COUNTIFS(Applications!K2:K500,"High",Applications!B2:B500,"&lt;&gt;")</f>
        <v/>
      </c>
    </row>
    <row r="48" hidden="1">
      <c r="B48" t="inlineStr">
        <is>
          <t>Onsite</t>
        </is>
      </c>
      <c r="C48">
        <f>COUNTIFS(Applications!F2:F500,"Onsite",Applications!B2:B500,"&lt;&gt;")</f>
        <v/>
      </c>
      <c r="E48" t="inlineStr">
        <is>
          <t>Medium</t>
        </is>
      </c>
      <c r="F48">
        <f>COUNTIFS(Applications!K2:K500,"Medium",Applications!B2:B500,"&lt;&gt;")</f>
        <v/>
      </c>
    </row>
    <row r="49" hidden="1">
      <c r="B49" t="inlineStr">
        <is>
          <t>Flexible</t>
        </is>
      </c>
      <c r="C49">
        <f>COUNTIFS(Applications!F2:F500,"Flexible",Applications!B2:B500,"&lt;&gt;")</f>
        <v/>
      </c>
      <c r="E49" t="inlineStr">
        <is>
          <t>Low</t>
        </is>
      </c>
      <c r="F49">
        <f>COUNTIFS(Applications!K2:K500,"Low",Applications!B2:B500,"&lt;&gt;")</f>
        <v/>
      </c>
    </row>
    <row r="50" hidden="1"/>
    <row r="51" hidden="1"/>
    <row r="52" hidden="1">
      <c r="B52" t="inlineStr">
        <is>
          <t>Month</t>
        </is>
      </c>
      <c r="C52" t="inlineStr">
        <is>
          <t>Count</t>
        </is>
      </c>
      <c r="E52" t="inlineStr">
        <is>
          <t>Funnel Stage</t>
        </is>
      </c>
      <c r="F52" t="inlineStr">
        <is>
          <t>Count</t>
        </is>
      </c>
    </row>
    <row r="53" hidden="1">
      <c r="B53">
        <f>TEXT(EOMONTH(TODAY(),-5),"MMM YYYY")</f>
        <v/>
      </c>
      <c r="C53">
        <f>COUNTIFS(Applications!I2:I500,"&gt;="&amp;EOMONTH(TODAY(),-5-1)+1,Applications!I2:I500,"&lt;="&amp;EOMONTH(TODAY(),-5))</f>
        <v/>
      </c>
      <c r="E53" t="inlineStr">
        <is>
          <t>Applied</t>
        </is>
      </c>
      <c r="F53">
        <f>COUNTA(Applications!B2:B500)</f>
        <v/>
      </c>
    </row>
    <row r="54" hidden="1">
      <c r="B54">
        <f>TEXT(EOMONTH(TODAY(),-4),"MMM YYYY")</f>
        <v/>
      </c>
      <c r="C54">
        <f>COUNTIFS(Applications!I2:I500,"&gt;="&amp;EOMONTH(TODAY(),-4-1)+1,Applications!I2:I500,"&lt;="&amp;EOMONTH(TODAY(),-4))</f>
        <v/>
      </c>
      <c r="E54" t="inlineStr">
        <is>
          <t>Screening</t>
        </is>
      </c>
      <c r="F54">
        <f>COUNTIFS(Applications!J2:J500,"Screening",Applications!B2:B500,"&lt;&gt;")+COUNTIFS(Applications!J2:J500,"Phone Screen",Applications!B2:B500,"&lt;&gt;")+COUNTIFS(Applications!J2:J500,"*Interview*",Applications!B2:B500,"&lt;&gt;")+COUNTIFS(Applications!J2:J500,"Offer",Applications!B2:B500,"&lt;&gt;")+COUNTIFS(Applications!J2:J500,"Accepted",Applications!B2:B500,"&lt;&gt;")</f>
        <v/>
      </c>
    </row>
    <row r="55" hidden="1">
      <c r="B55">
        <f>TEXT(EOMONTH(TODAY(),-3),"MMM YYYY")</f>
        <v/>
      </c>
      <c r="C55">
        <f>COUNTIFS(Applications!I2:I500,"&gt;="&amp;EOMONTH(TODAY(),-3-1)+1,Applications!I2:I500,"&lt;="&amp;EOMONTH(TODAY(),-3))</f>
        <v/>
      </c>
      <c r="E55" t="inlineStr">
        <is>
          <t>Interview</t>
        </is>
      </c>
      <c r="F55">
        <f>COUNTIFS(Applications!J2:J500,"*Interview*",Applications!B2:B500,"&lt;&gt;")+COUNTIFS(Applications!J2:J500,"Offer",Applications!B2:B500,"&lt;&gt;")+COUNTIFS(Applications!J2:J500,"Accepted",Applications!B2:B500,"&lt;&gt;")</f>
        <v/>
      </c>
    </row>
    <row r="56" hidden="1">
      <c r="B56">
        <f>TEXT(EOMONTH(TODAY(),-2),"MMM YYYY")</f>
        <v/>
      </c>
      <c r="C56">
        <f>COUNTIFS(Applications!I2:I500,"&gt;="&amp;EOMONTH(TODAY(),-2-1)+1,Applications!I2:I500,"&lt;="&amp;EOMONTH(TODAY(),-2))</f>
        <v/>
      </c>
      <c r="E56" t="inlineStr">
        <is>
          <t>Offer</t>
        </is>
      </c>
      <c r="F56">
        <f>COUNTIFS(Applications!J2:J500,"Offer",Applications!B2:B500,"&lt;&gt;")+COUNTIFS(Applications!J2:J500,"Accepted",Applications!B2:B500,"&lt;&gt;")</f>
        <v/>
      </c>
    </row>
    <row r="57" hidden="1">
      <c r="B57">
        <f>TEXT(EOMONTH(TODAY(),-1),"MMM YYYY")</f>
        <v/>
      </c>
      <c r="C57">
        <f>COUNTIFS(Applications!I2:I500,"&gt;="&amp;EOMONTH(TODAY(),-1-1)+1,Applications!I2:I500,"&lt;="&amp;EOMONTH(TODAY(),-1))</f>
        <v/>
      </c>
      <c r="E57" t="inlineStr">
        <is>
          <t>Accepted</t>
        </is>
      </c>
      <c r="F57">
        <f>COUNTIFS(Applications!J2:J500,"Accepted",Applications!B2:B500,"&lt;&gt;")</f>
        <v/>
      </c>
    </row>
    <row r="58" hidden="1">
      <c r="B58">
        <f>TEXT(EOMONTH(TODAY(),-0),"MMM YYYY")</f>
        <v/>
      </c>
      <c r="C58">
        <f>COUNTIFS(Applications!I2:I500,"&gt;="&amp;EOMONTH(TODAY(),-0-1)+1,Applications!I2:I500,"&lt;="&amp;EOMONTH(TODAY(),-0))</f>
        <v/>
      </c>
    </row>
    <row r="59" hidden="1"/>
    <row r="60" hidden="1"/>
    <row r="61" hidden="1"/>
  </sheetData>
  <mergeCells count="41">
    <mergeCell ref="D20:E20"/>
    <mergeCell ref="B16:C16"/>
    <mergeCell ref="D10:E10"/>
    <mergeCell ref="B7:C7"/>
    <mergeCell ref="F10:G10"/>
    <mergeCell ref="F16:G16"/>
    <mergeCell ref="H10:I10"/>
    <mergeCell ref="D19:E19"/>
    <mergeCell ref="F19:G19"/>
    <mergeCell ref="F6:G6"/>
    <mergeCell ref="B15:H15"/>
    <mergeCell ref="H9:I9"/>
    <mergeCell ref="F7:G7"/>
    <mergeCell ref="B12:C12"/>
    <mergeCell ref="D6:E6"/>
    <mergeCell ref="F12:G12"/>
    <mergeCell ref="H6:I6"/>
    <mergeCell ref="B4:H4"/>
    <mergeCell ref="D13:E13"/>
    <mergeCell ref="F20:G20"/>
    <mergeCell ref="B17:C17"/>
    <mergeCell ref="B3:H3"/>
    <mergeCell ref="D17:E17"/>
    <mergeCell ref="F17:G17"/>
    <mergeCell ref="B13:C13"/>
    <mergeCell ref="B22:H22"/>
    <mergeCell ref="D16:E16"/>
    <mergeCell ref="D7:E7"/>
    <mergeCell ref="H7:I7"/>
    <mergeCell ref="B19:C19"/>
    <mergeCell ref="B10:C10"/>
    <mergeCell ref="B2:H2"/>
    <mergeCell ref="F13:G13"/>
    <mergeCell ref="B9:C9"/>
    <mergeCell ref="D9:E9"/>
    <mergeCell ref="H13:I13"/>
    <mergeCell ref="F9:G9"/>
    <mergeCell ref="D12:E12"/>
    <mergeCell ref="B6:C6"/>
    <mergeCell ref="H12:I12"/>
    <mergeCell ref="B20:C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5BBA"/>
    <outlinePr summaryBelow="1" summaryRight="1"/>
    <pageSetUpPr/>
  </sheetPr>
  <dimension ref="A1:AG50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8" customWidth="1" min="4" max="4"/>
    <col width="14" customWidth="1" min="5" max="5"/>
    <col width="10" customWidth="1" min="6" max="6"/>
    <col width="12" customWidth="1" min="7" max="7"/>
    <col width="14" customWidth="1" min="8" max="8"/>
    <col width="14" customWidth="1" min="9" max="9"/>
    <col width="16" customWidth="1" min="10" max="10"/>
    <col width="10" customWidth="1" min="11" max="11"/>
    <col width="10" customWidth="1" min="12" max="12"/>
    <col width="14" customWidth="1" min="13" max="13"/>
    <col width="18" customWidth="1" min="14" max="14"/>
    <col width="18" customWidth="1" min="15" max="15"/>
    <col width="14" customWidth="1" min="16" max="16"/>
    <col width="10" customWidth="1" min="17" max="17"/>
    <col width="28" customWidth="1" min="18" max="18"/>
    <col width="28" customWidth="1" min="19" max="19"/>
    <col width="14" customWidth="1" min="20" max="20"/>
    <col width="14" customWidth="1" min="21" max="21"/>
    <col width="12" customWidth="1" min="22" max="22"/>
    <col width="14" customWidth="1" min="23" max="23"/>
    <col width="14" customWidth="1" min="24" max="24"/>
    <col width="14" customWidth="1" min="25" max="25"/>
    <col width="14" customWidth="1" min="26" max="26"/>
    <col width="16" customWidth="1" min="27" max="27"/>
    <col width="14" customWidth="1" min="28" max="28"/>
    <col width="16" customWidth="1" min="29" max="29"/>
    <col width="12" customWidth="1" min="30" max="30"/>
    <col width="8" customWidth="1" min="31" max="31"/>
    <col width="8" customWidth="1" min="32" max="32"/>
    <col width="30" customWidth="1" min="33" max="33"/>
  </cols>
  <sheetData>
    <row r="1" ht="28" customHeight="1">
      <c r="A1" s="45" t="inlineStr">
        <is>
          <t>Application ID</t>
        </is>
      </c>
      <c r="B1" s="45" t="inlineStr">
        <is>
          <t>Company</t>
        </is>
      </c>
      <c r="C1" s="45" t="inlineStr">
        <is>
          <t>Role</t>
        </is>
      </c>
      <c r="D1" s="45" t="inlineStr">
        <is>
          <t>Location</t>
        </is>
      </c>
      <c r="E1" s="45" t="inlineStr">
        <is>
          <t>Country</t>
        </is>
      </c>
      <c r="F1" s="45" t="inlineStr">
        <is>
          <t>Remote</t>
        </is>
      </c>
      <c r="G1" s="45" t="inlineStr">
        <is>
          <t>Salary</t>
        </is>
      </c>
      <c r="H1" s="45" t="inlineStr">
        <is>
          <t>Source</t>
        </is>
      </c>
      <c r="I1" s="45" t="inlineStr">
        <is>
          <t>Date Applied</t>
        </is>
      </c>
      <c r="J1" s="45" t="inlineStr">
        <is>
          <t>Status</t>
        </is>
      </c>
      <c r="K1" s="45" t="inlineStr">
        <is>
          <t>Priority</t>
        </is>
      </c>
      <c r="L1" s="45" t="inlineStr">
        <is>
          <t>Fit Score</t>
        </is>
      </c>
      <c r="M1" s="45" t="inlineStr">
        <is>
          <t>Follow-up Date</t>
        </is>
      </c>
      <c r="N1" s="45" t="inlineStr">
        <is>
          <t>Recruiter</t>
        </is>
      </c>
      <c r="O1" s="45" t="inlineStr">
        <is>
          <t>LinkedIn Recruiter</t>
        </is>
      </c>
      <c r="P1" s="45" t="inlineStr">
        <is>
          <t>Interview Date</t>
        </is>
      </c>
      <c r="Q1" s="45" t="inlineStr">
        <is>
          <t>Offer</t>
        </is>
      </c>
      <c r="R1" s="45" t="inlineStr">
        <is>
          <t>Application URL</t>
        </is>
      </c>
      <c r="S1" s="45" t="inlineStr">
        <is>
          <t>Company Career Page</t>
        </is>
      </c>
      <c r="T1" s="45" t="inlineStr">
        <is>
          <t>Resume Version</t>
        </is>
      </c>
      <c r="U1" s="45" t="inlineStr">
        <is>
          <t>Cover Letter Version</t>
        </is>
      </c>
      <c r="V1" s="45" t="inlineStr">
        <is>
          <t>Visa Sponsorship</t>
        </is>
      </c>
      <c r="W1" s="45" t="inlineStr">
        <is>
          <t>Employment Type</t>
        </is>
      </c>
      <c r="X1" s="45" t="inlineStr">
        <is>
          <t>Work Authorization</t>
        </is>
      </c>
      <c r="Y1" s="45" t="inlineStr">
        <is>
          <t>Referral</t>
        </is>
      </c>
      <c r="Z1" s="45" t="inlineStr">
        <is>
          <t>Expected Salary</t>
        </is>
      </c>
      <c r="AA1" s="45" t="inlineStr">
        <is>
          <t>Current Stage</t>
        </is>
      </c>
      <c r="AB1" s="45" t="inlineStr">
        <is>
          <t>Days Since Applied</t>
        </is>
      </c>
      <c r="AC1" s="45" t="inlineStr">
        <is>
          <t>Days Until Follow-up</t>
        </is>
      </c>
      <c r="AD1" s="45" t="inlineStr">
        <is>
          <t>Interview Count</t>
        </is>
      </c>
      <c r="AE1" s="45" t="inlineStr">
        <is>
          <t>Favorite</t>
        </is>
      </c>
      <c r="AF1" s="45" t="inlineStr">
        <is>
          <t>Archive</t>
        </is>
      </c>
      <c r="AG1" s="45" t="inlineStr">
        <is>
          <t>Notes</t>
        </is>
      </c>
    </row>
    <row r="2" ht="22" customHeight="1">
      <c r="A2" s="46">
        <f>"APP-"&amp;TEXT(ROW()-1,"000")</f>
        <v/>
      </c>
      <c r="B2" s="46" t="n"/>
      <c r="C2" s="46" t="n"/>
      <c r="D2" s="46" t="n"/>
      <c r="E2" s="46" t="n"/>
      <c r="F2" s="46" t="n"/>
      <c r="G2" s="47" t="n"/>
      <c r="H2" s="46" t="n"/>
      <c r="I2" s="46" t="n"/>
      <c r="J2" s="46" t="n"/>
      <c r="K2" s="47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>
        <f>IF(I2="","",TODAY()-I2)</f>
        <v/>
      </c>
      <c r="AC2" s="46">
        <f>IF(M2="","",M2-TODAY())</f>
        <v/>
      </c>
      <c r="AD2" s="46">
        <f>IF(B2="","",COUNTIFS('Interview Tracker'!A:A,B2))</f>
        <v/>
      </c>
      <c r="AE2" s="46" t="n"/>
      <c r="AF2" s="46" t="n"/>
      <c r="AG2" s="46" t="n"/>
    </row>
    <row r="3" ht="22" customHeight="1">
      <c r="A3" s="48">
        <f>"APP-"&amp;TEXT(ROW()-1,"000")</f>
        <v/>
      </c>
      <c r="B3" s="48" t="n"/>
      <c r="C3" s="48" t="n"/>
      <c r="D3" s="48" t="n"/>
      <c r="E3" s="48" t="n"/>
      <c r="F3" s="48" t="n"/>
      <c r="G3" s="49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>
        <f>IF(I3="","",TODAY()-I3)</f>
        <v/>
      </c>
      <c r="AC3" s="48">
        <f>IF(M3="","",M3-TODAY())</f>
        <v/>
      </c>
      <c r="AD3" s="48">
        <f>IF(B3="","",COUNTIFS('Interview Tracker'!A:A,B3))</f>
        <v/>
      </c>
      <c r="AE3" s="48" t="n"/>
      <c r="AF3" s="48" t="n"/>
      <c r="AG3" s="48" t="n"/>
    </row>
    <row r="4" ht="22" customHeight="1">
      <c r="A4" s="46">
        <f>"APP-"&amp;TEXT(ROW()-1,"000")</f>
        <v/>
      </c>
      <c r="B4" s="46" t="n"/>
      <c r="C4" s="46" t="n"/>
      <c r="D4" s="46" t="n"/>
      <c r="E4" s="46" t="n"/>
      <c r="F4" s="46" t="n"/>
      <c r="G4" s="47" t="n"/>
      <c r="H4" s="46" t="n"/>
      <c r="I4" s="46" t="n"/>
      <c r="J4" s="46" t="n"/>
      <c r="K4" s="47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>
        <f>IF(I4="","",TODAY()-I4)</f>
        <v/>
      </c>
      <c r="AC4" s="46">
        <f>IF(M4="","",M4-TODAY())</f>
        <v/>
      </c>
      <c r="AD4" s="46">
        <f>IF(B4="","",COUNTIFS('Interview Tracker'!A:A,B4))</f>
        <v/>
      </c>
      <c r="AE4" s="46" t="n"/>
      <c r="AF4" s="46" t="n"/>
      <c r="AG4" s="46" t="n"/>
    </row>
    <row r="5" ht="22" customHeight="1">
      <c r="A5" s="48">
        <f>"APP-"&amp;TEXT(ROW()-1,"000")</f>
        <v/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>
        <f>IF(I5="","",TODAY()-I5)</f>
        <v/>
      </c>
      <c r="AC5" s="48">
        <f>IF(M5="","",M5-TODAY())</f>
        <v/>
      </c>
      <c r="AD5" s="48">
        <f>IF(B5="","",COUNTIFS('Interview Tracker'!A:A,B5))</f>
        <v/>
      </c>
      <c r="AE5" s="48" t="n"/>
      <c r="AF5" s="48" t="n"/>
      <c r="AG5" s="48" t="n"/>
    </row>
    <row r="6" ht="22" customHeight="1">
      <c r="A6" s="46">
        <f>"APP-"&amp;TEXT(ROW()-1,"000")</f>
        <v/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>
        <f>IF(I6="","",TODAY()-I6)</f>
        <v/>
      </c>
      <c r="AC6" s="46">
        <f>IF(M6="","",M6-TODAY())</f>
        <v/>
      </c>
      <c r="AD6" s="46">
        <f>IF(B6="","",COUNTIFS('Interview Tracker'!A:A,B6))</f>
        <v/>
      </c>
      <c r="AE6" s="46" t="n"/>
      <c r="AF6" s="46" t="n"/>
      <c r="AG6" s="46" t="n"/>
    </row>
    <row r="7" ht="22" customHeight="1">
      <c r="A7" s="48">
        <f>"APP-"&amp;TEXT(ROW()-1,"000")</f>
        <v/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>
        <f>IF(I7="","",TODAY()-I7)</f>
        <v/>
      </c>
      <c r="AC7" s="48">
        <f>IF(M7="","",M7-TODAY())</f>
        <v/>
      </c>
      <c r="AD7" s="48">
        <f>IF(B7="","",COUNTIFS('Interview Tracker'!A:A,B7))</f>
        <v/>
      </c>
      <c r="AE7" s="48" t="n"/>
      <c r="AF7" s="48" t="n"/>
      <c r="AG7" s="48" t="n"/>
    </row>
    <row r="8" ht="22" customHeight="1">
      <c r="A8" s="46">
        <f>"APP-"&amp;TEXT(ROW()-1,"000")</f>
        <v/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>
        <f>IF(I8="","",TODAY()-I8)</f>
        <v/>
      </c>
      <c r="AC8" s="46">
        <f>IF(M8="","",M8-TODAY())</f>
        <v/>
      </c>
      <c r="AD8" s="46">
        <f>IF(B8="","",COUNTIFS('Interview Tracker'!A:A,B8))</f>
        <v/>
      </c>
      <c r="AE8" s="46" t="n"/>
      <c r="AF8" s="46" t="n"/>
      <c r="AG8" s="46" t="n"/>
    </row>
    <row r="9" ht="22" customHeight="1">
      <c r="A9" s="48">
        <f>"APP-"&amp;TEXT(ROW()-1,"000")</f>
        <v/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>
        <f>IF(I9="","",TODAY()-I9)</f>
        <v/>
      </c>
      <c r="AC9" s="48">
        <f>IF(M9="","",M9-TODAY())</f>
        <v/>
      </c>
      <c r="AD9" s="48">
        <f>IF(B9="","",COUNTIFS('Interview Tracker'!A:A,B9))</f>
        <v/>
      </c>
      <c r="AE9" s="48" t="n"/>
      <c r="AF9" s="48" t="n"/>
      <c r="AG9" s="48" t="n"/>
    </row>
    <row r="10" ht="22" customHeight="1">
      <c r="A10" s="46">
        <f>"APP-"&amp;TEXT(ROW()-1,"000")</f>
        <v/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>
        <f>IF(I10="","",TODAY()-I10)</f>
        <v/>
      </c>
      <c r="AC10" s="46">
        <f>IF(M10="","",M10-TODAY())</f>
        <v/>
      </c>
      <c r="AD10" s="46">
        <f>IF(B10="","",COUNTIFS('Interview Tracker'!A:A,B10))</f>
        <v/>
      </c>
      <c r="AE10" s="46" t="n"/>
      <c r="AF10" s="46" t="n"/>
      <c r="AG10" s="46" t="n"/>
    </row>
    <row r="11" ht="22" customHeight="1">
      <c r="A11" s="48">
        <f>"APP-"&amp;TEXT(ROW()-1,"000")</f>
        <v/>
      </c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>
        <f>IF(I11="","",TODAY()-I11)</f>
        <v/>
      </c>
      <c r="AC11" s="48">
        <f>IF(M11="","",M11-TODAY())</f>
        <v/>
      </c>
      <c r="AD11" s="48">
        <f>IF(B11="","",COUNTIFS('Interview Tracker'!A:A,B11))</f>
        <v/>
      </c>
      <c r="AE11" s="48" t="n"/>
      <c r="AF11" s="48" t="n"/>
      <c r="AG11" s="48" t="n"/>
    </row>
    <row r="12" ht="22" customHeight="1">
      <c r="A12" s="46">
        <f>"APP-"&amp;TEXT(ROW()-1,"000")</f>
        <v/>
      </c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>
        <f>IF(I12="","",TODAY()-I12)</f>
        <v/>
      </c>
      <c r="AC12" s="46">
        <f>IF(M12="","",M12-TODAY())</f>
        <v/>
      </c>
      <c r="AD12" s="46">
        <f>IF(B12="","",COUNTIFS('Interview Tracker'!A:A,B12))</f>
        <v/>
      </c>
      <c r="AE12" s="46" t="n"/>
      <c r="AF12" s="46" t="n"/>
      <c r="AG12" s="46" t="n"/>
    </row>
    <row r="13" ht="22" customHeight="1">
      <c r="A13" s="48">
        <f>"APP-"&amp;TEXT(ROW()-1,"000")</f>
        <v/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>
        <f>IF(I13="","",TODAY()-I13)</f>
        <v/>
      </c>
      <c r="AC13" s="48">
        <f>IF(M13="","",M13-TODAY())</f>
        <v/>
      </c>
      <c r="AD13" s="48">
        <f>IF(B13="","",COUNTIFS('Interview Tracker'!A:A,B13))</f>
        <v/>
      </c>
      <c r="AE13" s="48" t="n"/>
      <c r="AF13" s="48" t="n"/>
      <c r="AG13" s="48" t="n"/>
    </row>
    <row r="14" ht="22" customHeight="1">
      <c r="A14" s="46">
        <f>"APP-"&amp;TEXT(ROW()-1,"000")</f>
        <v/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>
        <f>IF(I14="","",TODAY()-I14)</f>
        <v/>
      </c>
      <c r="AC14" s="46">
        <f>IF(M14="","",M14-TODAY())</f>
        <v/>
      </c>
      <c r="AD14" s="46">
        <f>IF(B14="","",COUNTIFS('Interview Tracker'!A:A,B14))</f>
        <v/>
      </c>
      <c r="AE14" s="46" t="n"/>
      <c r="AF14" s="46" t="n"/>
      <c r="AG14" s="46" t="n"/>
    </row>
    <row r="15" ht="22" customHeight="1">
      <c r="A15" s="48">
        <f>"APP-"&amp;TEXT(ROW()-1,"000")</f>
        <v/>
      </c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>
        <f>IF(I15="","",TODAY()-I15)</f>
        <v/>
      </c>
      <c r="AC15" s="48">
        <f>IF(M15="","",M15-TODAY())</f>
        <v/>
      </c>
      <c r="AD15" s="48">
        <f>IF(B15="","",COUNTIFS('Interview Tracker'!A:A,B15))</f>
        <v/>
      </c>
      <c r="AE15" s="48" t="n"/>
      <c r="AF15" s="48" t="n"/>
      <c r="AG15" s="48" t="n"/>
    </row>
    <row r="16" ht="22" customHeight="1">
      <c r="A16" s="46">
        <f>"APP-"&amp;TEXT(ROW()-1,"000")</f>
        <v/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>
        <f>IF(I16="","",TODAY()-I16)</f>
        <v/>
      </c>
      <c r="AC16" s="46">
        <f>IF(M16="","",M16-TODAY())</f>
        <v/>
      </c>
      <c r="AD16" s="46">
        <f>IF(B16="","",COUNTIFS('Interview Tracker'!A:A,B16))</f>
        <v/>
      </c>
      <c r="AE16" s="46" t="n"/>
      <c r="AF16" s="46" t="n"/>
      <c r="AG16" s="46" t="n"/>
    </row>
    <row r="17" ht="22" customHeight="1">
      <c r="A17" s="48">
        <f>"APP-"&amp;TEXT(ROW()-1,"000")</f>
        <v/>
      </c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>
        <f>IF(I17="","",TODAY()-I17)</f>
        <v/>
      </c>
      <c r="AC17" s="48">
        <f>IF(M17="","",M17-TODAY())</f>
        <v/>
      </c>
      <c r="AD17" s="48">
        <f>IF(B17="","",COUNTIFS('Interview Tracker'!A:A,B17))</f>
        <v/>
      </c>
      <c r="AE17" s="48" t="n"/>
      <c r="AF17" s="48" t="n"/>
      <c r="AG17" s="48" t="n"/>
    </row>
    <row r="18" ht="22" customHeight="1">
      <c r="A18" s="46">
        <f>"APP-"&amp;TEXT(ROW()-1,"000")</f>
        <v/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>
        <f>IF(I18="","",TODAY()-I18)</f>
        <v/>
      </c>
      <c r="AC18" s="46">
        <f>IF(M18="","",M18-TODAY())</f>
        <v/>
      </c>
      <c r="AD18" s="46">
        <f>IF(B18="","",COUNTIFS('Interview Tracker'!A:A,B18))</f>
        <v/>
      </c>
      <c r="AE18" s="46" t="n"/>
      <c r="AF18" s="46" t="n"/>
      <c r="AG18" s="46" t="n"/>
    </row>
    <row r="19" ht="22" customHeight="1">
      <c r="A19" s="48">
        <f>"APP-"&amp;TEXT(ROW()-1,"000")</f>
        <v/>
      </c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>
        <f>IF(I19="","",TODAY()-I19)</f>
        <v/>
      </c>
      <c r="AC19" s="48">
        <f>IF(M19="","",M19-TODAY())</f>
        <v/>
      </c>
      <c r="AD19" s="48">
        <f>IF(B19="","",COUNTIFS('Interview Tracker'!A:A,B19))</f>
        <v/>
      </c>
      <c r="AE19" s="48" t="n"/>
      <c r="AF19" s="48" t="n"/>
      <c r="AG19" s="48" t="n"/>
    </row>
    <row r="20" ht="22" customHeight="1">
      <c r="A20" s="46">
        <f>"APP-"&amp;TEXT(ROW()-1,"000")</f>
        <v/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>
        <f>IF(I20="","",TODAY()-I20)</f>
        <v/>
      </c>
      <c r="AC20" s="46">
        <f>IF(M20="","",M20-TODAY())</f>
        <v/>
      </c>
      <c r="AD20" s="46">
        <f>IF(B20="","",COUNTIFS('Interview Tracker'!A:A,B20))</f>
        <v/>
      </c>
      <c r="AE20" s="46" t="n"/>
      <c r="AF20" s="46" t="n"/>
      <c r="AG20" s="46" t="n"/>
    </row>
    <row r="21" ht="22" customHeight="1">
      <c r="A21" s="48">
        <f>"APP-"&amp;TEXT(ROW()-1,"000")</f>
        <v/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>
        <f>IF(I21="","",TODAY()-I21)</f>
        <v/>
      </c>
      <c r="AC21" s="48">
        <f>IF(M21="","",M21-TODAY())</f>
        <v/>
      </c>
      <c r="AD21" s="48">
        <f>IF(B21="","",COUNTIFS('Interview Tracker'!A:A,B21))</f>
        <v/>
      </c>
      <c r="AE21" s="48" t="n"/>
      <c r="AF21" s="48" t="n"/>
      <c r="AG21" s="48" t="n"/>
    </row>
    <row r="22" ht="22" customHeight="1">
      <c r="A22" s="46">
        <f>"APP-"&amp;TEXT(ROW()-1,"000")</f>
        <v/>
      </c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>
        <f>IF(I22="","",TODAY()-I22)</f>
        <v/>
      </c>
      <c r="AC22" s="46">
        <f>IF(M22="","",M22-TODAY())</f>
        <v/>
      </c>
      <c r="AD22" s="46">
        <f>IF(B22="","",COUNTIFS('Interview Tracker'!A:A,B22))</f>
        <v/>
      </c>
      <c r="AE22" s="46" t="n"/>
      <c r="AF22" s="46" t="n"/>
      <c r="AG22" s="46" t="n"/>
    </row>
    <row r="23" ht="22" customHeight="1">
      <c r="A23" s="48">
        <f>"APP-"&amp;TEXT(ROW()-1,"000")</f>
        <v/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>
        <f>IF(I23="","",TODAY()-I23)</f>
        <v/>
      </c>
      <c r="AC23" s="48">
        <f>IF(M23="","",M23-TODAY())</f>
        <v/>
      </c>
      <c r="AD23" s="48">
        <f>IF(B23="","",COUNTIFS('Interview Tracker'!A:A,B23))</f>
        <v/>
      </c>
      <c r="AE23" s="48" t="n"/>
      <c r="AF23" s="48" t="n"/>
      <c r="AG23" s="48" t="n"/>
    </row>
    <row r="24" ht="22" customHeight="1">
      <c r="A24" s="46">
        <f>"APP-"&amp;TEXT(ROW()-1,"000")</f>
        <v/>
      </c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>
        <f>IF(I24="","",TODAY()-I24)</f>
        <v/>
      </c>
      <c r="AC24" s="46">
        <f>IF(M24="","",M24-TODAY())</f>
        <v/>
      </c>
      <c r="AD24" s="46">
        <f>IF(B24="","",COUNTIFS('Interview Tracker'!A:A,B24))</f>
        <v/>
      </c>
      <c r="AE24" s="46" t="n"/>
      <c r="AF24" s="46" t="n"/>
      <c r="AG24" s="46" t="n"/>
    </row>
    <row r="25" ht="22" customHeight="1">
      <c r="A25" s="48">
        <f>"APP-"&amp;TEXT(ROW()-1,"000")</f>
        <v/>
      </c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>
        <f>IF(I25="","",TODAY()-I25)</f>
        <v/>
      </c>
      <c r="AC25" s="48">
        <f>IF(M25="","",M25-TODAY())</f>
        <v/>
      </c>
      <c r="AD25" s="48">
        <f>IF(B25="","",COUNTIFS('Interview Tracker'!A:A,B25))</f>
        <v/>
      </c>
      <c r="AE25" s="48" t="n"/>
      <c r="AF25" s="48" t="n"/>
      <c r="AG25" s="48" t="n"/>
    </row>
    <row r="26" ht="22" customHeight="1">
      <c r="A26" s="46">
        <f>"APP-"&amp;TEXT(ROW()-1,"000")</f>
        <v/>
      </c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>
        <f>IF(I26="","",TODAY()-I26)</f>
        <v/>
      </c>
      <c r="AC26" s="46">
        <f>IF(M26="","",M26-TODAY())</f>
        <v/>
      </c>
      <c r="AD26" s="46">
        <f>IF(B26="","",COUNTIFS('Interview Tracker'!A:A,B26))</f>
        <v/>
      </c>
      <c r="AE26" s="46" t="n"/>
      <c r="AF26" s="46" t="n"/>
      <c r="AG26" s="46" t="n"/>
    </row>
    <row r="27" ht="22" customHeight="1">
      <c r="A27" s="48">
        <f>"APP-"&amp;TEXT(ROW()-1,"000")</f>
        <v/>
      </c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>
        <f>IF(I27="","",TODAY()-I27)</f>
        <v/>
      </c>
      <c r="AC27" s="48">
        <f>IF(M27="","",M27-TODAY())</f>
        <v/>
      </c>
      <c r="AD27" s="48">
        <f>IF(B27="","",COUNTIFS('Interview Tracker'!A:A,B27))</f>
        <v/>
      </c>
      <c r="AE27" s="48" t="n"/>
      <c r="AF27" s="48" t="n"/>
      <c r="AG27" s="48" t="n"/>
    </row>
    <row r="28" ht="22" customHeight="1">
      <c r="A28" s="46">
        <f>"APP-"&amp;TEXT(ROW()-1,"000")</f>
        <v/>
      </c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>
        <f>IF(I28="","",TODAY()-I28)</f>
        <v/>
      </c>
      <c r="AC28" s="46">
        <f>IF(M28="","",M28-TODAY())</f>
        <v/>
      </c>
      <c r="AD28" s="46">
        <f>IF(B28="","",COUNTIFS('Interview Tracker'!A:A,B28))</f>
        <v/>
      </c>
      <c r="AE28" s="46" t="n"/>
      <c r="AF28" s="46" t="n"/>
      <c r="AG28" s="46" t="n"/>
    </row>
    <row r="29" ht="22" customHeight="1">
      <c r="A29" s="48">
        <f>"APP-"&amp;TEXT(ROW()-1,"000")</f>
        <v/>
      </c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>
        <f>IF(I29="","",TODAY()-I29)</f>
        <v/>
      </c>
      <c r="AC29" s="48">
        <f>IF(M29="","",M29-TODAY())</f>
        <v/>
      </c>
      <c r="AD29" s="48">
        <f>IF(B29="","",COUNTIFS('Interview Tracker'!A:A,B29))</f>
        <v/>
      </c>
      <c r="AE29" s="48" t="n"/>
      <c r="AF29" s="48" t="n"/>
      <c r="AG29" s="48" t="n"/>
    </row>
    <row r="30" ht="22" customHeight="1">
      <c r="A30" s="46">
        <f>"APP-"&amp;TEXT(ROW()-1,"000")</f>
        <v/>
      </c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/>
      <c r="AB30" s="46">
        <f>IF(I30="","",TODAY()-I30)</f>
        <v/>
      </c>
      <c r="AC30" s="46">
        <f>IF(M30="","",M30-TODAY())</f>
        <v/>
      </c>
      <c r="AD30" s="46">
        <f>IF(B30="","",COUNTIFS('Interview Tracker'!A:A,B30))</f>
        <v/>
      </c>
      <c r="AE30" s="46" t="n"/>
      <c r="AF30" s="46" t="n"/>
      <c r="AG30" s="46" t="n"/>
    </row>
    <row r="31" ht="22" customHeight="1">
      <c r="A31" s="48">
        <f>"APP-"&amp;TEXT(ROW()-1,"000")</f>
        <v/>
      </c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>
        <f>IF(I31="","",TODAY()-I31)</f>
        <v/>
      </c>
      <c r="AC31" s="48">
        <f>IF(M31="","",M31-TODAY())</f>
        <v/>
      </c>
      <c r="AD31" s="48">
        <f>IF(B31="","",COUNTIFS('Interview Tracker'!A:A,B31))</f>
        <v/>
      </c>
      <c r="AE31" s="48" t="n"/>
      <c r="AF31" s="48" t="n"/>
      <c r="AG31" s="48" t="n"/>
    </row>
    <row r="32" ht="22" customHeight="1">
      <c r="A32" s="46">
        <f>"APP-"&amp;TEXT(ROW()-1,"000")</f>
        <v/>
      </c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  <c r="AA32" s="46" t="n"/>
      <c r="AB32" s="46">
        <f>IF(I32="","",TODAY()-I32)</f>
        <v/>
      </c>
      <c r="AC32" s="46">
        <f>IF(M32="","",M32-TODAY())</f>
        <v/>
      </c>
      <c r="AD32" s="46">
        <f>IF(B32="","",COUNTIFS('Interview Tracker'!A:A,B32))</f>
        <v/>
      </c>
      <c r="AE32" s="46" t="n"/>
      <c r="AF32" s="46" t="n"/>
      <c r="AG32" s="46" t="n"/>
    </row>
    <row r="33" ht="22" customHeight="1">
      <c r="A33" s="48">
        <f>"APP-"&amp;TEXT(ROW()-1,"000")</f>
        <v/>
      </c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>
        <f>IF(I33="","",TODAY()-I33)</f>
        <v/>
      </c>
      <c r="AC33" s="48">
        <f>IF(M33="","",M33-TODAY())</f>
        <v/>
      </c>
      <c r="AD33" s="48">
        <f>IF(B33="","",COUNTIFS('Interview Tracker'!A:A,B33))</f>
        <v/>
      </c>
      <c r="AE33" s="48" t="n"/>
      <c r="AF33" s="48" t="n"/>
      <c r="AG33" s="48" t="n"/>
    </row>
    <row r="34" ht="22" customHeight="1">
      <c r="A34" s="46">
        <f>"APP-"&amp;TEXT(ROW()-1,"000")</f>
        <v/>
      </c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6" t="n"/>
      <c r="AB34" s="46">
        <f>IF(I34="","",TODAY()-I34)</f>
        <v/>
      </c>
      <c r="AC34" s="46">
        <f>IF(M34="","",M34-TODAY())</f>
        <v/>
      </c>
      <c r="AD34" s="46">
        <f>IF(B34="","",COUNTIFS('Interview Tracker'!A:A,B34))</f>
        <v/>
      </c>
      <c r="AE34" s="46" t="n"/>
      <c r="AF34" s="46" t="n"/>
      <c r="AG34" s="46" t="n"/>
    </row>
    <row r="35" ht="22" customHeight="1">
      <c r="A35" s="48">
        <f>"APP-"&amp;TEXT(ROW()-1,"000")</f>
        <v/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>
        <f>IF(I35="","",TODAY()-I35)</f>
        <v/>
      </c>
      <c r="AC35" s="48">
        <f>IF(M35="","",M35-TODAY())</f>
        <v/>
      </c>
      <c r="AD35" s="48">
        <f>IF(B35="","",COUNTIFS('Interview Tracker'!A:A,B35))</f>
        <v/>
      </c>
      <c r="AE35" s="48" t="n"/>
      <c r="AF35" s="48" t="n"/>
      <c r="AG35" s="48" t="n"/>
    </row>
    <row r="36" ht="22" customHeight="1">
      <c r="A36" s="46">
        <f>"APP-"&amp;TEXT(ROW()-1,"000")</f>
        <v/>
      </c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6" t="n"/>
      <c r="AB36" s="46">
        <f>IF(I36="","",TODAY()-I36)</f>
        <v/>
      </c>
      <c r="AC36" s="46">
        <f>IF(M36="","",M36-TODAY())</f>
        <v/>
      </c>
      <c r="AD36" s="46">
        <f>IF(B36="","",COUNTIFS('Interview Tracker'!A:A,B36))</f>
        <v/>
      </c>
      <c r="AE36" s="46" t="n"/>
      <c r="AF36" s="46" t="n"/>
      <c r="AG36" s="46" t="n"/>
    </row>
    <row r="37" ht="22" customHeight="1">
      <c r="A37" s="48">
        <f>"APP-"&amp;TEXT(ROW()-1,"000")</f>
        <v/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>
        <f>IF(I37="","",TODAY()-I37)</f>
        <v/>
      </c>
      <c r="AC37" s="48">
        <f>IF(M37="","",M37-TODAY())</f>
        <v/>
      </c>
      <c r="AD37" s="48">
        <f>IF(B37="","",COUNTIFS('Interview Tracker'!A:A,B37))</f>
        <v/>
      </c>
      <c r="AE37" s="48" t="n"/>
      <c r="AF37" s="48" t="n"/>
      <c r="AG37" s="48" t="n"/>
    </row>
    <row r="38" ht="22" customHeight="1">
      <c r="A38" s="46">
        <f>"APP-"&amp;TEXT(ROW()-1,"000")</f>
        <v/>
      </c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>
        <f>IF(I38="","",TODAY()-I38)</f>
        <v/>
      </c>
      <c r="AC38" s="46">
        <f>IF(M38="","",M38-TODAY())</f>
        <v/>
      </c>
      <c r="AD38" s="46">
        <f>IF(B38="","",COUNTIFS('Interview Tracker'!A:A,B38))</f>
        <v/>
      </c>
      <c r="AE38" s="46" t="n"/>
      <c r="AF38" s="46" t="n"/>
      <c r="AG38" s="46" t="n"/>
    </row>
    <row r="39" ht="22" customHeight="1">
      <c r="A39" s="48">
        <f>"APP-"&amp;TEXT(ROW()-1,"000")</f>
        <v/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>
        <f>IF(I39="","",TODAY()-I39)</f>
        <v/>
      </c>
      <c r="AC39" s="48">
        <f>IF(M39="","",M39-TODAY())</f>
        <v/>
      </c>
      <c r="AD39" s="48">
        <f>IF(B39="","",COUNTIFS('Interview Tracker'!A:A,B39))</f>
        <v/>
      </c>
      <c r="AE39" s="48" t="n"/>
      <c r="AF39" s="48" t="n"/>
      <c r="AG39" s="48" t="n"/>
    </row>
    <row r="40" ht="22" customHeight="1">
      <c r="A40" s="46">
        <f>"APP-"&amp;TEXT(ROW()-1,"000")</f>
        <v/>
      </c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>
        <f>IF(I40="","",TODAY()-I40)</f>
        <v/>
      </c>
      <c r="AC40" s="46">
        <f>IF(M40="","",M40-TODAY())</f>
        <v/>
      </c>
      <c r="AD40" s="46">
        <f>IF(B40="","",COUNTIFS('Interview Tracker'!A:A,B40))</f>
        <v/>
      </c>
      <c r="AE40" s="46" t="n"/>
      <c r="AF40" s="46" t="n"/>
      <c r="AG40" s="46" t="n"/>
    </row>
    <row r="41" ht="22" customHeight="1">
      <c r="A41" s="48">
        <f>"APP-"&amp;TEXT(ROW()-1,"000")</f>
        <v/>
      </c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>
        <f>IF(I41="","",TODAY()-I41)</f>
        <v/>
      </c>
      <c r="AC41" s="48">
        <f>IF(M41="","",M41-TODAY())</f>
        <v/>
      </c>
      <c r="AD41" s="48">
        <f>IF(B41="","",COUNTIFS('Interview Tracker'!A:A,B41))</f>
        <v/>
      </c>
      <c r="AE41" s="48" t="n"/>
      <c r="AF41" s="48" t="n"/>
      <c r="AG41" s="48" t="n"/>
    </row>
    <row r="42" ht="22" customHeight="1">
      <c r="A42" s="46">
        <f>"APP-"&amp;TEXT(ROW()-1,"000")</f>
        <v/>
      </c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>
        <f>IF(I42="","",TODAY()-I42)</f>
        <v/>
      </c>
      <c r="AC42" s="46">
        <f>IF(M42="","",M42-TODAY())</f>
        <v/>
      </c>
      <c r="AD42" s="46">
        <f>IF(B42="","",COUNTIFS('Interview Tracker'!A:A,B42))</f>
        <v/>
      </c>
      <c r="AE42" s="46" t="n"/>
      <c r="AF42" s="46" t="n"/>
      <c r="AG42" s="46" t="n"/>
    </row>
    <row r="43" ht="22" customHeight="1">
      <c r="A43" s="48">
        <f>"APP-"&amp;TEXT(ROW()-1,"000")</f>
        <v/>
      </c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>
        <f>IF(I43="","",TODAY()-I43)</f>
        <v/>
      </c>
      <c r="AC43" s="48">
        <f>IF(M43="","",M43-TODAY())</f>
        <v/>
      </c>
      <c r="AD43" s="48">
        <f>IF(B43="","",COUNTIFS('Interview Tracker'!A:A,B43))</f>
        <v/>
      </c>
      <c r="AE43" s="48" t="n"/>
      <c r="AF43" s="48" t="n"/>
      <c r="AG43" s="48" t="n"/>
    </row>
    <row r="44" ht="22" customHeight="1">
      <c r="A44" s="46">
        <f>"APP-"&amp;TEXT(ROW()-1,"000")</f>
        <v/>
      </c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>
        <f>IF(I44="","",TODAY()-I44)</f>
        <v/>
      </c>
      <c r="AC44" s="46">
        <f>IF(M44="","",M44-TODAY())</f>
        <v/>
      </c>
      <c r="AD44" s="46">
        <f>IF(B44="","",COUNTIFS('Interview Tracker'!A:A,B44))</f>
        <v/>
      </c>
      <c r="AE44" s="46" t="n"/>
      <c r="AF44" s="46" t="n"/>
      <c r="AG44" s="46" t="n"/>
    </row>
    <row r="45" ht="22" customHeight="1">
      <c r="A45" s="48">
        <f>"APP-"&amp;TEXT(ROW()-1,"000")</f>
        <v/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>
        <f>IF(I45="","",TODAY()-I45)</f>
        <v/>
      </c>
      <c r="AC45" s="48">
        <f>IF(M45="","",M45-TODAY())</f>
        <v/>
      </c>
      <c r="AD45" s="48">
        <f>IF(B45="","",COUNTIFS('Interview Tracker'!A:A,B45))</f>
        <v/>
      </c>
      <c r="AE45" s="48" t="n"/>
      <c r="AF45" s="48" t="n"/>
      <c r="AG45" s="48" t="n"/>
    </row>
    <row r="46" ht="22" customHeight="1">
      <c r="A46" s="46">
        <f>"APP-"&amp;TEXT(ROW()-1,"000")</f>
        <v/>
      </c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>
        <f>IF(I46="","",TODAY()-I46)</f>
        <v/>
      </c>
      <c r="AC46" s="46">
        <f>IF(M46="","",M46-TODAY())</f>
        <v/>
      </c>
      <c r="AD46" s="46">
        <f>IF(B46="","",COUNTIFS('Interview Tracker'!A:A,B46))</f>
        <v/>
      </c>
      <c r="AE46" s="46" t="n"/>
      <c r="AF46" s="46" t="n"/>
      <c r="AG46" s="46" t="n"/>
    </row>
    <row r="47" ht="22" customHeight="1">
      <c r="A47" s="48">
        <f>"APP-"&amp;TEXT(ROW()-1,"000")</f>
        <v/>
      </c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>
        <f>IF(I47="","",TODAY()-I47)</f>
        <v/>
      </c>
      <c r="AC47" s="48">
        <f>IF(M47="","",M47-TODAY())</f>
        <v/>
      </c>
      <c r="AD47" s="48">
        <f>IF(B47="","",COUNTIFS('Interview Tracker'!A:A,B47))</f>
        <v/>
      </c>
      <c r="AE47" s="48" t="n"/>
      <c r="AF47" s="48" t="n"/>
      <c r="AG47" s="48" t="n"/>
    </row>
    <row r="48" ht="22" customHeight="1">
      <c r="A48" s="46">
        <f>"APP-"&amp;TEXT(ROW()-1,"000")</f>
        <v/>
      </c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>
        <f>IF(I48="","",TODAY()-I48)</f>
        <v/>
      </c>
      <c r="AC48" s="46">
        <f>IF(M48="","",M48-TODAY())</f>
        <v/>
      </c>
      <c r="AD48" s="46">
        <f>IF(B48="","",COUNTIFS('Interview Tracker'!A:A,B48))</f>
        <v/>
      </c>
      <c r="AE48" s="46" t="n"/>
      <c r="AF48" s="46" t="n"/>
      <c r="AG48" s="46" t="n"/>
    </row>
    <row r="49" ht="22" customHeight="1">
      <c r="A49" s="48">
        <f>"APP-"&amp;TEXT(ROW()-1,"000")</f>
        <v/>
      </c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>
        <f>IF(I49="","",TODAY()-I49)</f>
        <v/>
      </c>
      <c r="AC49" s="48">
        <f>IF(M49="","",M49-TODAY())</f>
        <v/>
      </c>
      <c r="AD49" s="48">
        <f>IF(B49="","",COUNTIFS('Interview Tracker'!A:A,B49))</f>
        <v/>
      </c>
      <c r="AE49" s="48" t="n"/>
      <c r="AF49" s="48" t="n"/>
      <c r="AG49" s="48" t="n"/>
    </row>
    <row r="50" ht="22" customHeight="1">
      <c r="A50" s="46">
        <f>"APP-"&amp;TEXT(ROW()-1,"000")</f>
        <v/>
      </c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>
        <f>IF(I50="","",TODAY()-I50)</f>
        <v/>
      </c>
      <c r="AC50" s="46">
        <f>IF(M50="","",M50-TODAY())</f>
        <v/>
      </c>
      <c r="AD50" s="46">
        <f>IF(B50="","",COUNTIFS('Interview Tracker'!A:A,B50))</f>
        <v/>
      </c>
      <c r="AE50" s="46" t="n"/>
      <c r="AF50" s="46" t="n"/>
      <c r="AG50" s="46" t="n"/>
    </row>
    <row r="51" ht="22" customHeight="1">
      <c r="A51" s="48">
        <f>"APP-"&amp;TEXT(ROW()-1,"000")</f>
        <v/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>
        <f>IF(I51="","",TODAY()-I51)</f>
        <v/>
      </c>
      <c r="AC51" s="48">
        <f>IF(M51="","",M51-TODAY())</f>
        <v/>
      </c>
      <c r="AD51" s="48">
        <f>IF(B51="","",COUNTIFS('Interview Tracker'!A:A,B51))</f>
        <v/>
      </c>
      <c r="AE51" s="48" t="n"/>
      <c r="AF51" s="48" t="n"/>
      <c r="AG51" s="48" t="n"/>
    </row>
    <row r="52" ht="22" customHeight="1">
      <c r="A52" s="46">
        <f>"APP-"&amp;TEXT(ROW()-1,"000")</f>
        <v/>
      </c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>
        <f>IF(I52="","",TODAY()-I52)</f>
        <v/>
      </c>
      <c r="AC52" s="46">
        <f>IF(M52="","",M52-TODAY())</f>
        <v/>
      </c>
      <c r="AD52" s="46">
        <f>IF(B52="","",COUNTIFS('Interview Tracker'!A:A,B52))</f>
        <v/>
      </c>
      <c r="AE52" s="46" t="n"/>
      <c r="AF52" s="46" t="n"/>
      <c r="AG52" s="46" t="n"/>
    </row>
    <row r="53" ht="22" customHeight="1">
      <c r="A53" s="48">
        <f>"APP-"&amp;TEXT(ROW()-1,"000")</f>
        <v/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>
        <f>IF(I53="","",TODAY()-I53)</f>
        <v/>
      </c>
      <c r="AC53" s="48">
        <f>IF(M53="","",M53-TODAY())</f>
        <v/>
      </c>
      <c r="AD53" s="48">
        <f>IF(B53="","",COUNTIFS('Interview Tracker'!A:A,B53))</f>
        <v/>
      </c>
      <c r="AE53" s="48" t="n"/>
      <c r="AF53" s="48" t="n"/>
      <c r="AG53" s="48" t="n"/>
    </row>
    <row r="54" ht="22" customHeight="1">
      <c r="A54" s="46">
        <f>"APP-"&amp;TEXT(ROW()-1,"000")</f>
        <v/>
      </c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>
        <f>IF(I54="","",TODAY()-I54)</f>
        <v/>
      </c>
      <c r="AC54" s="46">
        <f>IF(M54="","",M54-TODAY())</f>
        <v/>
      </c>
      <c r="AD54" s="46">
        <f>IF(B54="","",COUNTIFS('Interview Tracker'!A:A,B54))</f>
        <v/>
      </c>
      <c r="AE54" s="46" t="n"/>
      <c r="AF54" s="46" t="n"/>
      <c r="AG54" s="46" t="n"/>
    </row>
    <row r="55" ht="22" customHeight="1">
      <c r="A55" s="48">
        <f>"APP-"&amp;TEXT(ROW()-1,"000")</f>
        <v/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>
        <f>IF(I55="","",TODAY()-I55)</f>
        <v/>
      </c>
      <c r="AC55" s="48">
        <f>IF(M55="","",M55-TODAY())</f>
        <v/>
      </c>
      <c r="AD55" s="48">
        <f>IF(B55="","",COUNTIFS('Interview Tracker'!A:A,B55))</f>
        <v/>
      </c>
      <c r="AE55" s="48" t="n"/>
      <c r="AF55" s="48" t="n"/>
      <c r="AG55" s="48" t="n"/>
    </row>
    <row r="56" ht="22" customHeight="1">
      <c r="A56" s="46">
        <f>"APP-"&amp;TEXT(ROW()-1,"000")</f>
        <v/>
      </c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>
        <f>IF(I56="","",TODAY()-I56)</f>
        <v/>
      </c>
      <c r="AC56" s="46">
        <f>IF(M56="","",M56-TODAY())</f>
        <v/>
      </c>
      <c r="AD56" s="46">
        <f>IF(B56="","",COUNTIFS('Interview Tracker'!A:A,B56))</f>
        <v/>
      </c>
      <c r="AE56" s="46" t="n"/>
      <c r="AF56" s="46" t="n"/>
      <c r="AG56" s="46" t="n"/>
    </row>
    <row r="57" ht="22" customHeight="1">
      <c r="A57" s="48">
        <f>"APP-"&amp;TEXT(ROW()-1,"000")</f>
        <v/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>
        <f>IF(I57="","",TODAY()-I57)</f>
        <v/>
      </c>
      <c r="AC57" s="48">
        <f>IF(M57="","",M57-TODAY())</f>
        <v/>
      </c>
      <c r="AD57" s="48">
        <f>IF(B57="","",COUNTIFS('Interview Tracker'!A:A,B57))</f>
        <v/>
      </c>
      <c r="AE57" s="48" t="n"/>
      <c r="AF57" s="48" t="n"/>
      <c r="AG57" s="48" t="n"/>
    </row>
    <row r="58" ht="22" customHeight="1">
      <c r="A58" s="46">
        <f>"APP-"&amp;TEXT(ROW()-1,"000")</f>
        <v/>
      </c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>
        <f>IF(I58="","",TODAY()-I58)</f>
        <v/>
      </c>
      <c r="AC58" s="46">
        <f>IF(M58="","",M58-TODAY())</f>
        <v/>
      </c>
      <c r="AD58" s="46">
        <f>IF(B58="","",COUNTIFS('Interview Tracker'!A:A,B58))</f>
        <v/>
      </c>
      <c r="AE58" s="46" t="n"/>
      <c r="AF58" s="46" t="n"/>
      <c r="AG58" s="46" t="n"/>
    </row>
    <row r="59" ht="22" customHeight="1">
      <c r="A59" s="48">
        <f>"APP-"&amp;TEXT(ROW()-1,"000")</f>
        <v/>
      </c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>
        <f>IF(I59="","",TODAY()-I59)</f>
        <v/>
      </c>
      <c r="AC59" s="48">
        <f>IF(M59="","",M59-TODAY())</f>
        <v/>
      </c>
      <c r="AD59" s="48">
        <f>IF(B59="","",COUNTIFS('Interview Tracker'!A:A,B59))</f>
        <v/>
      </c>
      <c r="AE59" s="48" t="n"/>
      <c r="AF59" s="48" t="n"/>
      <c r="AG59" s="48" t="n"/>
    </row>
    <row r="60" ht="22" customHeight="1">
      <c r="A60" s="46">
        <f>"APP-"&amp;TEXT(ROW()-1,"000")</f>
        <v/>
      </c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>
        <f>IF(I60="","",TODAY()-I60)</f>
        <v/>
      </c>
      <c r="AC60" s="46">
        <f>IF(M60="","",M60-TODAY())</f>
        <v/>
      </c>
      <c r="AD60" s="46">
        <f>IF(B60="","",COUNTIFS('Interview Tracker'!A:A,B60))</f>
        <v/>
      </c>
      <c r="AE60" s="46" t="n"/>
      <c r="AF60" s="46" t="n"/>
      <c r="AG60" s="46" t="n"/>
    </row>
    <row r="61" ht="22" customHeight="1">
      <c r="A61" s="48">
        <f>"APP-"&amp;TEXT(ROW()-1,"000")</f>
        <v/>
      </c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>
        <f>IF(I61="","",TODAY()-I61)</f>
        <v/>
      </c>
      <c r="AC61" s="48">
        <f>IF(M61="","",M61-TODAY())</f>
        <v/>
      </c>
      <c r="AD61" s="48">
        <f>IF(B61="","",COUNTIFS('Interview Tracker'!A:A,B61))</f>
        <v/>
      </c>
      <c r="AE61" s="48" t="n"/>
      <c r="AF61" s="48" t="n"/>
      <c r="AG61" s="48" t="n"/>
    </row>
    <row r="62" ht="22" customHeight="1">
      <c r="A62" s="46">
        <f>"APP-"&amp;TEXT(ROW()-1,"000")</f>
        <v/>
      </c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>
        <f>IF(I62="","",TODAY()-I62)</f>
        <v/>
      </c>
      <c r="AC62" s="46">
        <f>IF(M62="","",M62-TODAY())</f>
        <v/>
      </c>
      <c r="AD62" s="46">
        <f>IF(B62="","",COUNTIFS('Interview Tracker'!A:A,B62))</f>
        <v/>
      </c>
      <c r="AE62" s="46" t="n"/>
      <c r="AF62" s="46" t="n"/>
      <c r="AG62" s="46" t="n"/>
    </row>
    <row r="63" ht="22" customHeight="1">
      <c r="A63" s="48">
        <f>"APP-"&amp;TEXT(ROW()-1,"000")</f>
        <v/>
      </c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>
        <f>IF(I63="","",TODAY()-I63)</f>
        <v/>
      </c>
      <c r="AC63" s="48">
        <f>IF(M63="","",M63-TODAY())</f>
        <v/>
      </c>
      <c r="AD63" s="48">
        <f>IF(B63="","",COUNTIFS('Interview Tracker'!A:A,B63))</f>
        <v/>
      </c>
      <c r="AE63" s="48" t="n"/>
      <c r="AF63" s="48" t="n"/>
      <c r="AG63" s="48" t="n"/>
    </row>
    <row r="64" ht="22" customHeight="1">
      <c r="A64" s="46">
        <f>"APP-"&amp;TEXT(ROW()-1,"000")</f>
        <v/>
      </c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>
        <f>IF(I64="","",TODAY()-I64)</f>
        <v/>
      </c>
      <c r="AC64" s="46">
        <f>IF(M64="","",M64-TODAY())</f>
        <v/>
      </c>
      <c r="AD64" s="46">
        <f>IF(B64="","",COUNTIFS('Interview Tracker'!A:A,B64))</f>
        <v/>
      </c>
      <c r="AE64" s="46" t="n"/>
      <c r="AF64" s="46" t="n"/>
      <c r="AG64" s="46" t="n"/>
    </row>
    <row r="65" ht="22" customHeight="1">
      <c r="A65" s="48">
        <f>"APP-"&amp;TEXT(ROW()-1,"000")</f>
        <v/>
      </c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>
        <f>IF(I65="","",TODAY()-I65)</f>
        <v/>
      </c>
      <c r="AC65" s="48">
        <f>IF(M65="","",M65-TODAY())</f>
        <v/>
      </c>
      <c r="AD65" s="48">
        <f>IF(B65="","",COUNTIFS('Interview Tracker'!A:A,B65))</f>
        <v/>
      </c>
      <c r="AE65" s="48" t="n"/>
      <c r="AF65" s="48" t="n"/>
      <c r="AG65" s="48" t="n"/>
    </row>
    <row r="66" ht="22" customHeight="1">
      <c r="A66" s="46">
        <f>"APP-"&amp;TEXT(ROW()-1,"000")</f>
        <v/>
      </c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>
        <f>IF(I66="","",TODAY()-I66)</f>
        <v/>
      </c>
      <c r="AC66" s="46">
        <f>IF(M66="","",M66-TODAY())</f>
        <v/>
      </c>
      <c r="AD66" s="46">
        <f>IF(B66="","",COUNTIFS('Interview Tracker'!A:A,B66))</f>
        <v/>
      </c>
      <c r="AE66" s="46" t="n"/>
      <c r="AF66" s="46" t="n"/>
      <c r="AG66" s="46" t="n"/>
    </row>
    <row r="67" ht="22" customHeight="1">
      <c r="A67" s="48">
        <f>"APP-"&amp;TEXT(ROW()-1,"000")</f>
        <v/>
      </c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>
        <f>IF(I67="","",TODAY()-I67)</f>
        <v/>
      </c>
      <c r="AC67" s="48">
        <f>IF(M67="","",M67-TODAY())</f>
        <v/>
      </c>
      <c r="AD67" s="48">
        <f>IF(B67="","",COUNTIFS('Interview Tracker'!A:A,B67))</f>
        <v/>
      </c>
      <c r="AE67" s="48" t="n"/>
      <c r="AF67" s="48" t="n"/>
      <c r="AG67" s="48" t="n"/>
    </row>
    <row r="68" ht="22" customHeight="1">
      <c r="A68" s="46">
        <f>"APP-"&amp;TEXT(ROW()-1,"000")</f>
        <v/>
      </c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>
        <f>IF(I68="","",TODAY()-I68)</f>
        <v/>
      </c>
      <c r="AC68" s="46">
        <f>IF(M68="","",M68-TODAY())</f>
        <v/>
      </c>
      <c r="AD68" s="46">
        <f>IF(B68="","",COUNTIFS('Interview Tracker'!A:A,B68))</f>
        <v/>
      </c>
      <c r="AE68" s="46" t="n"/>
      <c r="AF68" s="46" t="n"/>
      <c r="AG68" s="46" t="n"/>
    </row>
    <row r="69" ht="22" customHeight="1">
      <c r="A69" s="48">
        <f>"APP-"&amp;TEXT(ROW()-1,"000")</f>
        <v/>
      </c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>
        <f>IF(I69="","",TODAY()-I69)</f>
        <v/>
      </c>
      <c r="AC69" s="48">
        <f>IF(M69="","",M69-TODAY())</f>
        <v/>
      </c>
      <c r="AD69" s="48">
        <f>IF(B69="","",COUNTIFS('Interview Tracker'!A:A,B69))</f>
        <v/>
      </c>
      <c r="AE69" s="48" t="n"/>
      <c r="AF69" s="48" t="n"/>
      <c r="AG69" s="48" t="n"/>
    </row>
    <row r="70" ht="22" customHeight="1">
      <c r="A70" s="46">
        <f>"APP-"&amp;TEXT(ROW()-1,"000")</f>
        <v/>
      </c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>
        <f>IF(I70="","",TODAY()-I70)</f>
        <v/>
      </c>
      <c r="AC70" s="46">
        <f>IF(M70="","",M70-TODAY())</f>
        <v/>
      </c>
      <c r="AD70" s="46">
        <f>IF(B70="","",COUNTIFS('Interview Tracker'!A:A,B70))</f>
        <v/>
      </c>
      <c r="AE70" s="46" t="n"/>
      <c r="AF70" s="46" t="n"/>
      <c r="AG70" s="46" t="n"/>
    </row>
    <row r="71" ht="22" customHeight="1">
      <c r="A71" s="48">
        <f>"APP-"&amp;TEXT(ROW()-1,"000")</f>
        <v/>
      </c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>
        <f>IF(I71="","",TODAY()-I71)</f>
        <v/>
      </c>
      <c r="AC71" s="48">
        <f>IF(M71="","",M71-TODAY())</f>
        <v/>
      </c>
      <c r="AD71" s="48">
        <f>IF(B71="","",COUNTIFS('Interview Tracker'!A:A,B71))</f>
        <v/>
      </c>
      <c r="AE71" s="48" t="n"/>
      <c r="AF71" s="48" t="n"/>
      <c r="AG71" s="48" t="n"/>
    </row>
    <row r="72" ht="22" customHeight="1">
      <c r="A72" s="46">
        <f>"APP-"&amp;TEXT(ROW()-1,"000")</f>
        <v/>
      </c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>
        <f>IF(I72="","",TODAY()-I72)</f>
        <v/>
      </c>
      <c r="AC72" s="46">
        <f>IF(M72="","",M72-TODAY())</f>
        <v/>
      </c>
      <c r="AD72" s="46">
        <f>IF(B72="","",COUNTIFS('Interview Tracker'!A:A,B72))</f>
        <v/>
      </c>
      <c r="AE72" s="46" t="n"/>
      <c r="AF72" s="46" t="n"/>
      <c r="AG72" s="46" t="n"/>
    </row>
    <row r="73" ht="22" customHeight="1">
      <c r="A73" s="48">
        <f>"APP-"&amp;TEXT(ROW()-1,"000")</f>
        <v/>
      </c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>
        <f>IF(I73="","",TODAY()-I73)</f>
        <v/>
      </c>
      <c r="AC73" s="48">
        <f>IF(M73="","",M73-TODAY())</f>
        <v/>
      </c>
      <c r="AD73" s="48">
        <f>IF(B73="","",COUNTIFS('Interview Tracker'!A:A,B73))</f>
        <v/>
      </c>
      <c r="AE73" s="48" t="n"/>
      <c r="AF73" s="48" t="n"/>
      <c r="AG73" s="48" t="n"/>
    </row>
    <row r="74" ht="22" customHeight="1">
      <c r="A74" s="46">
        <f>"APP-"&amp;TEXT(ROW()-1,"000")</f>
        <v/>
      </c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>
        <f>IF(I74="","",TODAY()-I74)</f>
        <v/>
      </c>
      <c r="AC74" s="46">
        <f>IF(M74="","",M74-TODAY())</f>
        <v/>
      </c>
      <c r="AD74" s="46">
        <f>IF(B74="","",COUNTIFS('Interview Tracker'!A:A,B74))</f>
        <v/>
      </c>
      <c r="AE74" s="46" t="n"/>
      <c r="AF74" s="46" t="n"/>
      <c r="AG74" s="46" t="n"/>
    </row>
    <row r="75" ht="22" customHeight="1">
      <c r="A75" s="48">
        <f>"APP-"&amp;TEXT(ROW()-1,"000")</f>
        <v/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>
        <f>IF(I75="","",TODAY()-I75)</f>
        <v/>
      </c>
      <c r="AC75" s="48">
        <f>IF(M75="","",M75-TODAY())</f>
        <v/>
      </c>
      <c r="AD75" s="48">
        <f>IF(B75="","",COUNTIFS('Interview Tracker'!A:A,B75))</f>
        <v/>
      </c>
      <c r="AE75" s="48" t="n"/>
      <c r="AF75" s="48" t="n"/>
      <c r="AG75" s="48" t="n"/>
    </row>
    <row r="76" ht="22" customHeight="1">
      <c r="A76" s="46">
        <f>"APP-"&amp;TEXT(ROW()-1,"000")</f>
        <v/>
      </c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>
        <f>IF(I76="","",TODAY()-I76)</f>
        <v/>
      </c>
      <c r="AC76" s="46">
        <f>IF(M76="","",M76-TODAY())</f>
        <v/>
      </c>
      <c r="AD76" s="46">
        <f>IF(B76="","",COUNTIFS('Interview Tracker'!A:A,B76))</f>
        <v/>
      </c>
      <c r="AE76" s="46" t="n"/>
      <c r="AF76" s="46" t="n"/>
      <c r="AG76" s="46" t="n"/>
    </row>
    <row r="77" ht="22" customHeight="1">
      <c r="A77" s="48">
        <f>"APP-"&amp;TEXT(ROW()-1,"000")</f>
        <v/>
      </c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>
        <f>IF(I77="","",TODAY()-I77)</f>
        <v/>
      </c>
      <c r="AC77" s="48">
        <f>IF(M77="","",M77-TODAY())</f>
        <v/>
      </c>
      <c r="AD77" s="48">
        <f>IF(B77="","",COUNTIFS('Interview Tracker'!A:A,B77))</f>
        <v/>
      </c>
      <c r="AE77" s="48" t="n"/>
      <c r="AF77" s="48" t="n"/>
      <c r="AG77" s="48" t="n"/>
    </row>
    <row r="78" ht="22" customHeight="1">
      <c r="A78" s="46">
        <f>"APP-"&amp;TEXT(ROW()-1,"000")</f>
        <v/>
      </c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>
        <f>IF(I78="","",TODAY()-I78)</f>
        <v/>
      </c>
      <c r="AC78" s="46">
        <f>IF(M78="","",M78-TODAY())</f>
        <v/>
      </c>
      <c r="AD78" s="46">
        <f>IF(B78="","",COUNTIFS('Interview Tracker'!A:A,B78))</f>
        <v/>
      </c>
      <c r="AE78" s="46" t="n"/>
      <c r="AF78" s="46" t="n"/>
      <c r="AG78" s="46" t="n"/>
    </row>
    <row r="79" ht="22" customHeight="1">
      <c r="A79" s="48">
        <f>"APP-"&amp;TEXT(ROW()-1,"000")</f>
        <v/>
      </c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>
        <f>IF(I79="","",TODAY()-I79)</f>
        <v/>
      </c>
      <c r="AC79" s="48">
        <f>IF(M79="","",M79-TODAY())</f>
        <v/>
      </c>
      <c r="AD79" s="48">
        <f>IF(B79="","",COUNTIFS('Interview Tracker'!A:A,B79))</f>
        <v/>
      </c>
      <c r="AE79" s="48" t="n"/>
      <c r="AF79" s="48" t="n"/>
      <c r="AG79" s="48" t="n"/>
    </row>
    <row r="80" ht="22" customHeight="1">
      <c r="A80" s="46">
        <f>"APP-"&amp;TEXT(ROW()-1,"000")</f>
        <v/>
      </c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>
        <f>IF(I80="","",TODAY()-I80)</f>
        <v/>
      </c>
      <c r="AC80" s="46">
        <f>IF(M80="","",M80-TODAY())</f>
        <v/>
      </c>
      <c r="AD80" s="46">
        <f>IF(B80="","",COUNTIFS('Interview Tracker'!A:A,B80))</f>
        <v/>
      </c>
      <c r="AE80" s="46" t="n"/>
      <c r="AF80" s="46" t="n"/>
      <c r="AG80" s="46" t="n"/>
    </row>
    <row r="81" ht="22" customHeight="1">
      <c r="A81" s="48">
        <f>"APP-"&amp;TEXT(ROW()-1,"000")</f>
        <v/>
      </c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>
        <f>IF(I81="","",TODAY()-I81)</f>
        <v/>
      </c>
      <c r="AC81" s="48">
        <f>IF(M81="","",M81-TODAY())</f>
        <v/>
      </c>
      <c r="AD81" s="48">
        <f>IF(B81="","",COUNTIFS('Interview Tracker'!A:A,B81))</f>
        <v/>
      </c>
      <c r="AE81" s="48" t="n"/>
      <c r="AF81" s="48" t="n"/>
      <c r="AG81" s="48" t="n"/>
    </row>
    <row r="82" ht="22" customHeight="1">
      <c r="A82" s="46">
        <f>"APP-"&amp;TEXT(ROW()-1,"000")</f>
        <v/>
      </c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>
        <f>IF(I82="","",TODAY()-I82)</f>
        <v/>
      </c>
      <c r="AC82" s="46">
        <f>IF(M82="","",M82-TODAY())</f>
        <v/>
      </c>
      <c r="AD82" s="46">
        <f>IF(B82="","",COUNTIFS('Interview Tracker'!A:A,B82))</f>
        <v/>
      </c>
      <c r="AE82" s="46" t="n"/>
      <c r="AF82" s="46" t="n"/>
      <c r="AG82" s="46" t="n"/>
    </row>
    <row r="83" ht="22" customHeight="1">
      <c r="A83" s="48">
        <f>"APP-"&amp;TEXT(ROW()-1,"000")</f>
        <v/>
      </c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>
        <f>IF(I83="","",TODAY()-I83)</f>
        <v/>
      </c>
      <c r="AC83" s="48">
        <f>IF(M83="","",M83-TODAY())</f>
        <v/>
      </c>
      <c r="AD83" s="48">
        <f>IF(B83="","",COUNTIFS('Interview Tracker'!A:A,B83))</f>
        <v/>
      </c>
      <c r="AE83" s="48" t="n"/>
      <c r="AF83" s="48" t="n"/>
      <c r="AG83" s="48" t="n"/>
    </row>
    <row r="84" ht="22" customHeight="1">
      <c r="A84" s="46">
        <f>"APP-"&amp;TEXT(ROW()-1,"000")</f>
        <v/>
      </c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>
        <f>IF(I84="","",TODAY()-I84)</f>
        <v/>
      </c>
      <c r="AC84" s="46">
        <f>IF(M84="","",M84-TODAY())</f>
        <v/>
      </c>
      <c r="AD84" s="46">
        <f>IF(B84="","",COUNTIFS('Interview Tracker'!A:A,B84))</f>
        <v/>
      </c>
      <c r="AE84" s="46" t="n"/>
      <c r="AF84" s="46" t="n"/>
      <c r="AG84" s="46" t="n"/>
    </row>
    <row r="85" ht="22" customHeight="1">
      <c r="A85" s="48">
        <f>"APP-"&amp;TEXT(ROW()-1,"000")</f>
        <v/>
      </c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>
        <f>IF(I85="","",TODAY()-I85)</f>
        <v/>
      </c>
      <c r="AC85" s="48">
        <f>IF(M85="","",M85-TODAY())</f>
        <v/>
      </c>
      <c r="AD85" s="48">
        <f>IF(B85="","",COUNTIFS('Interview Tracker'!A:A,B85))</f>
        <v/>
      </c>
      <c r="AE85" s="48" t="n"/>
      <c r="AF85" s="48" t="n"/>
      <c r="AG85" s="48" t="n"/>
    </row>
    <row r="86" ht="22" customHeight="1">
      <c r="A86" s="46">
        <f>"APP-"&amp;TEXT(ROW()-1,"000")</f>
        <v/>
      </c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>
        <f>IF(I86="","",TODAY()-I86)</f>
        <v/>
      </c>
      <c r="AC86" s="46">
        <f>IF(M86="","",M86-TODAY())</f>
        <v/>
      </c>
      <c r="AD86" s="46">
        <f>IF(B86="","",COUNTIFS('Interview Tracker'!A:A,B86))</f>
        <v/>
      </c>
      <c r="AE86" s="46" t="n"/>
      <c r="AF86" s="46" t="n"/>
      <c r="AG86" s="46" t="n"/>
    </row>
    <row r="87" ht="22" customHeight="1">
      <c r="A87" s="48">
        <f>"APP-"&amp;TEXT(ROW()-1,"000")</f>
        <v/>
      </c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>
        <f>IF(I87="","",TODAY()-I87)</f>
        <v/>
      </c>
      <c r="AC87" s="48">
        <f>IF(M87="","",M87-TODAY())</f>
        <v/>
      </c>
      <c r="AD87" s="48">
        <f>IF(B87="","",COUNTIFS('Interview Tracker'!A:A,B87))</f>
        <v/>
      </c>
      <c r="AE87" s="48" t="n"/>
      <c r="AF87" s="48" t="n"/>
      <c r="AG87" s="48" t="n"/>
    </row>
    <row r="88" ht="22" customHeight="1">
      <c r="A88" s="46">
        <f>"APP-"&amp;TEXT(ROW()-1,"000")</f>
        <v/>
      </c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>
        <f>IF(I88="","",TODAY()-I88)</f>
        <v/>
      </c>
      <c r="AC88" s="46">
        <f>IF(M88="","",M88-TODAY())</f>
        <v/>
      </c>
      <c r="AD88" s="46">
        <f>IF(B88="","",COUNTIFS('Interview Tracker'!A:A,B88))</f>
        <v/>
      </c>
      <c r="AE88" s="46" t="n"/>
      <c r="AF88" s="46" t="n"/>
      <c r="AG88" s="46" t="n"/>
    </row>
    <row r="89" ht="22" customHeight="1">
      <c r="A89" s="48">
        <f>"APP-"&amp;TEXT(ROW()-1,"000")</f>
        <v/>
      </c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>
        <f>IF(I89="","",TODAY()-I89)</f>
        <v/>
      </c>
      <c r="AC89" s="48">
        <f>IF(M89="","",M89-TODAY())</f>
        <v/>
      </c>
      <c r="AD89" s="48">
        <f>IF(B89="","",COUNTIFS('Interview Tracker'!A:A,B89))</f>
        <v/>
      </c>
      <c r="AE89" s="48" t="n"/>
      <c r="AF89" s="48" t="n"/>
      <c r="AG89" s="48" t="n"/>
    </row>
    <row r="90" ht="22" customHeight="1">
      <c r="A90" s="46">
        <f>"APP-"&amp;TEXT(ROW()-1,"000")</f>
        <v/>
      </c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>
        <f>IF(I90="","",TODAY()-I90)</f>
        <v/>
      </c>
      <c r="AC90" s="46">
        <f>IF(M90="","",M90-TODAY())</f>
        <v/>
      </c>
      <c r="AD90" s="46">
        <f>IF(B90="","",COUNTIFS('Interview Tracker'!A:A,B90))</f>
        <v/>
      </c>
      <c r="AE90" s="46" t="n"/>
      <c r="AF90" s="46" t="n"/>
      <c r="AG90" s="46" t="n"/>
    </row>
    <row r="91" ht="22" customHeight="1">
      <c r="A91" s="48">
        <f>"APP-"&amp;TEXT(ROW()-1,"000")</f>
        <v/>
      </c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>
        <f>IF(I91="","",TODAY()-I91)</f>
        <v/>
      </c>
      <c r="AC91" s="48">
        <f>IF(M91="","",M91-TODAY())</f>
        <v/>
      </c>
      <c r="AD91" s="48">
        <f>IF(B91="","",COUNTIFS('Interview Tracker'!A:A,B91))</f>
        <v/>
      </c>
      <c r="AE91" s="48" t="n"/>
      <c r="AF91" s="48" t="n"/>
      <c r="AG91" s="48" t="n"/>
    </row>
    <row r="92" ht="22" customHeight="1">
      <c r="A92" s="46">
        <f>"APP-"&amp;TEXT(ROW()-1,"000")</f>
        <v/>
      </c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>
        <f>IF(I92="","",TODAY()-I92)</f>
        <v/>
      </c>
      <c r="AC92" s="46">
        <f>IF(M92="","",M92-TODAY())</f>
        <v/>
      </c>
      <c r="AD92" s="46">
        <f>IF(B92="","",COUNTIFS('Interview Tracker'!A:A,B92))</f>
        <v/>
      </c>
      <c r="AE92" s="46" t="n"/>
      <c r="AF92" s="46" t="n"/>
      <c r="AG92" s="46" t="n"/>
    </row>
    <row r="93" ht="22" customHeight="1">
      <c r="A93" s="48">
        <f>"APP-"&amp;TEXT(ROW()-1,"000")</f>
        <v/>
      </c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>
        <f>IF(I93="","",TODAY()-I93)</f>
        <v/>
      </c>
      <c r="AC93" s="48">
        <f>IF(M93="","",M93-TODAY())</f>
        <v/>
      </c>
      <c r="AD93" s="48">
        <f>IF(B93="","",COUNTIFS('Interview Tracker'!A:A,B93))</f>
        <v/>
      </c>
      <c r="AE93" s="48" t="n"/>
      <c r="AF93" s="48" t="n"/>
      <c r="AG93" s="48" t="n"/>
    </row>
    <row r="94" ht="22" customHeight="1">
      <c r="A94" s="46">
        <f>"APP-"&amp;TEXT(ROW()-1,"000")</f>
        <v/>
      </c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>
        <f>IF(I94="","",TODAY()-I94)</f>
        <v/>
      </c>
      <c r="AC94" s="46">
        <f>IF(M94="","",M94-TODAY())</f>
        <v/>
      </c>
      <c r="AD94" s="46">
        <f>IF(B94="","",COUNTIFS('Interview Tracker'!A:A,B94))</f>
        <v/>
      </c>
      <c r="AE94" s="46" t="n"/>
      <c r="AF94" s="46" t="n"/>
      <c r="AG94" s="46" t="n"/>
    </row>
    <row r="95" ht="22" customHeight="1">
      <c r="A95" s="48">
        <f>"APP-"&amp;TEXT(ROW()-1,"000")</f>
        <v/>
      </c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>
        <f>IF(I95="","",TODAY()-I95)</f>
        <v/>
      </c>
      <c r="AC95" s="48">
        <f>IF(M95="","",M95-TODAY())</f>
        <v/>
      </c>
      <c r="AD95" s="48">
        <f>IF(B95="","",COUNTIFS('Interview Tracker'!A:A,B95))</f>
        <v/>
      </c>
      <c r="AE95" s="48" t="n"/>
      <c r="AF95" s="48" t="n"/>
      <c r="AG95" s="48" t="n"/>
    </row>
    <row r="96" ht="22" customHeight="1">
      <c r="A96" s="46">
        <f>"APP-"&amp;TEXT(ROW()-1,"000")</f>
        <v/>
      </c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>
        <f>IF(I96="","",TODAY()-I96)</f>
        <v/>
      </c>
      <c r="AC96" s="46">
        <f>IF(M96="","",M96-TODAY())</f>
        <v/>
      </c>
      <c r="AD96" s="46">
        <f>IF(B96="","",COUNTIFS('Interview Tracker'!A:A,B96))</f>
        <v/>
      </c>
      <c r="AE96" s="46" t="n"/>
      <c r="AF96" s="46" t="n"/>
      <c r="AG96" s="46" t="n"/>
    </row>
    <row r="97" ht="22" customHeight="1">
      <c r="A97" s="48">
        <f>"APP-"&amp;TEXT(ROW()-1,"000")</f>
        <v/>
      </c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>
        <f>IF(I97="","",TODAY()-I97)</f>
        <v/>
      </c>
      <c r="AC97" s="48">
        <f>IF(M97="","",M97-TODAY())</f>
        <v/>
      </c>
      <c r="AD97" s="48">
        <f>IF(B97="","",COUNTIFS('Interview Tracker'!A:A,B97))</f>
        <v/>
      </c>
      <c r="AE97" s="48" t="n"/>
      <c r="AF97" s="48" t="n"/>
      <c r="AG97" s="48" t="n"/>
    </row>
    <row r="98" ht="22" customHeight="1">
      <c r="A98" s="46">
        <f>"APP-"&amp;TEXT(ROW()-1,"000")</f>
        <v/>
      </c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>
        <f>IF(I98="","",TODAY()-I98)</f>
        <v/>
      </c>
      <c r="AC98" s="46">
        <f>IF(M98="","",M98-TODAY())</f>
        <v/>
      </c>
      <c r="AD98" s="46">
        <f>IF(B98="","",COUNTIFS('Interview Tracker'!A:A,B98))</f>
        <v/>
      </c>
      <c r="AE98" s="46" t="n"/>
      <c r="AF98" s="46" t="n"/>
      <c r="AG98" s="46" t="n"/>
    </row>
    <row r="99" ht="22" customHeight="1">
      <c r="A99" s="48">
        <f>"APP-"&amp;TEXT(ROW()-1,"000")</f>
        <v/>
      </c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>
        <f>IF(I99="","",TODAY()-I99)</f>
        <v/>
      </c>
      <c r="AC99" s="48">
        <f>IF(M99="","",M99-TODAY())</f>
        <v/>
      </c>
      <c r="AD99" s="48">
        <f>IF(B99="","",COUNTIFS('Interview Tracker'!A:A,B99))</f>
        <v/>
      </c>
      <c r="AE99" s="48" t="n"/>
      <c r="AF99" s="48" t="n"/>
      <c r="AG99" s="48" t="n"/>
    </row>
    <row r="100" ht="22" customHeight="1">
      <c r="A100" s="46">
        <f>"APP-"&amp;TEXT(ROW()-1,"000")</f>
        <v/>
      </c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>
        <f>IF(I100="","",TODAY()-I100)</f>
        <v/>
      </c>
      <c r="AC100" s="46">
        <f>IF(M100="","",M100-TODAY())</f>
        <v/>
      </c>
      <c r="AD100" s="46">
        <f>IF(B100="","",COUNTIFS('Interview Tracker'!A:A,B100))</f>
        <v/>
      </c>
      <c r="AE100" s="46" t="n"/>
      <c r="AF100" s="46" t="n"/>
      <c r="AG100" s="46" t="n"/>
    </row>
    <row r="101" ht="22" customHeight="1">
      <c r="A101" s="48">
        <f>"APP-"&amp;TEXT(ROW()-1,"000")</f>
        <v/>
      </c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>
        <f>IF(I101="","",TODAY()-I101)</f>
        <v/>
      </c>
      <c r="AC101" s="48">
        <f>IF(M101="","",M101-TODAY())</f>
        <v/>
      </c>
      <c r="AD101" s="48">
        <f>IF(B101="","",COUNTIFS('Interview Tracker'!A:A,B101))</f>
        <v/>
      </c>
      <c r="AE101" s="48" t="n"/>
      <c r="AF101" s="48" t="n"/>
      <c r="AG101" s="48" t="n"/>
    </row>
    <row r="102" ht="22" customHeight="1">
      <c r="A102" s="46">
        <f>"APP-"&amp;TEXT(ROW()-1,"000")</f>
        <v/>
      </c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>
        <f>IF(I102="","",TODAY()-I102)</f>
        <v/>
      </c>
      <c r="AC102" s="46">
        <f>IF(M102="","",M102-TODAY())</f>
        <v/>
      </c>
      <c r="AD102" s="46">
        <f>IF(B102="","",COUNTIFS('Interview Tracker'!A:A,B102))</f>
        <v/>
      </c>
      <c r="AE102" s="46" t="n"/>
      <c r="AF102" s="46" t="n"/>
      <c r="AG102" s="46" t="n"/>
    </row>
    <row r="103" ht="22" customHeight="1">
      <c r="A103" s="48">
        <f>"APP-"&amp;TEXT(ROW()-1,"000")</f>
        <v/>
      </c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>
        <f>IF(I103="","",TODAY()-I103)</f>
        <v/>
      </c>
      <c r="AC103" s="48">
        <f>IF(M103="","",M103-TODAY())</f>
        <v/>
      </c>
      <c r="AD103" s="48">
        <f>IF(B103="","",COUNTIFS('Interview Tracker'!A:A,B103))</f>
        <v/>
      </c>
      <c r="AE103" s="48" t="n"/>
      <c r="AF103" s="48" t="n"/>
      <c r="AG103" s="48" t="n"/>
    </row>
    <row r="104" ht="22" customHeight="1">
      <c r="A104" s="46">
        <f>"APP-"&amp;TEXT(ROW()-1,"000")</f>
        <v/>
      </c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>
        <f>IF(I104="","",TODAY()-I104)</f>
        <v/>
      </c>
      <c r="AC104" s="46">
        <f>IF(M104="","",M104-TODAY())</f>
        <v/>
      </c>
      <c r="AD104" s="46">
        <f>IF(B104="","",COUNTIFS('Interview Tracker'!A:A,B104))</f>
        <v/>
      </c>
      <c r="AE104" s="46" t="n"/>
      <c r="AF104" s="46" t="n"/>
      <c r="AG104" s="46" t="n"/>
    </row>
    <row r="105" ht="22" customHeight="1">
      <c r="A105" s="48">
        <f>"APP-"&amp;TEXT(ROW()-1,"000")</f>
        <v/>
      </c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>
        <f>IF(I105="","",TODAY()-I105)</f>
        <v/>
      </c>
      <c r="AC105" s="48">
        <f>IF(M105="","",M105-TODAY())</f>
        <v/>
      </c>
      <c r="AD105" s="48">
        <f>IF(B105="","",COUNTIFS('Interview Tracker'!A:A,B105))</f>
        <v/>
      </c>
      <c r="AE105" s="48" t="n"/>
      <c r="AF105" s="48" t="n"/>
      <c r="AG105" s="48" t="n"/>
    </row>
    <row r="106" ht="22" customHeight="1">
      <c r="A106" s="46">
        <f>"APP-"&amp;TEXT(ROW()-1,"000")</f>
        <v/>
      </c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>
        <f>IF(I106="","",TODAY()-I106)</f>
        <v/>
      </c>
      <c r="AC106" s="46">
        <f>IF(M106="","",M106-TODAY())</f>
        <v/>
      </c>
      <c r="AD106" s="46">
        <f>IF(B106="","",COUNTIFS('Interview Tracker'!A:A,B106))</f>
        <v/>
      </c>
      <c r="AE106" s="46" t="n"/>
      <c r="AF106" s="46" t="n"/>
      <c r="AG106" s="46" t="n"/>
    </row>
    <row r="107" ht="22" customHeight="1">
      <c r="A107" s="48">
        <f>"APP-"&amp;TEXT(ROW()-1,"000")</f>
        <v/>
      </c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>
        <f>IF(I107="","",TODAY()-I107)</f>
        <v/>
      </c>
      <c r="AC107" s="48">
        <f>IF(M107="","",M107-TODAY())</f>
        <v/>
      </c>
      <c r="AD107" s="48">
        <f>IF(B107="","",COUNTIFS('Interview Tracker'!A:A,B107))</f>
        <v/>
      </c>
      <c r="AE107" s="48" t="n"/>
      <c r="AF107" s="48" t="n"/>
      <c r="AG107" s="48" t="n"/>
    </row>
    <row r="108" ht="22" customHeight="1">
      <c r="A108" s="46">
        <f>"APP-"&amp;TEXT(ROW()-1,"000")</f>
        <v/>
      </c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>
        <f>IF(I108="","",TODAY()-I108)</f>
        <v/>
      </c>
      <c r="AC108" s="46">
        <f>IF(M108="","",M108-TODAY())</f>
        <v/>
      </c>
      <c r="AD108" s="46">
        <f>IF(B108="","",COUNTIFS('Interview Tracker'!A:A,B108))</f>
        <v/>
      </c>
      <c r="AE108" s="46" t="n"/>
      <c r="AF108" s="46" t="n"/>
      <c r="AG108" s="46" t="n"/>
    </row>
    <row r="109" ht="22" customHeight="1">
      <c r="A109" s="48">
        <f>"APP-"&amp;TEXT(ROW()-1,"000")</f>
        <v/>
      </c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>
        <f>IF(I109="","",TODAY()-I109)</f>
        <v/>
      </c>
      <c r="AC109" s="48">
        <f>IF(M109="","",M109-TODAY())</f>
        <v/>
      </c>
      <c r="AD109" s="48">
        <f>IF(B109="","",COUNTIFS('Interview Tracker'!A:A,B109))</f>
        <v/>
      </c>
      <c r="AE109" s="48" t="n"/>
      <c r="AF109" s="48" t="n"/>
      <c r="AG109" s="48" t="n"/>
    </row>
    <row r="110" ht="22" customHeight="1">
      <c r="A110" s="46">
        <f>"APP-"&amp;TEXT(ROW()-1,"000")</f>
        <v/>
      </c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>
        <f>IF(I110="","",TODAY()-I110)</f>
        <v/>
      </c>
      <c r="AC110" s="46">
        <f>IF(M110="","",M110-TODAY())</f>
        <v/>
      </c>
      <c r="AD110" s="46">
        <f>IF(B110="","",COUNTIFS('Interview Tracker'!A:A,B110))</f>
        <v/>
      </c>
      <c r="AE110" s="46" t="n"/>
      <c r="AF110" s="46" t="n"/>
      <c r="AG110" s="46" t="n"/>
    </row>
    <row r="111" ht="22" customHeight="1">
      <c r="A111" s="48">
        <f>"APP-"&amp;TEXT(ROW()-1,"000")</f>
        <v/>
      </c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>
        <f>IF(I111="","",TODAY()-I111)</f>
        <v/>
      </c>
      <c r="AC111" s="48">
        <f>IF(M111="","",M111-TODAY())</f>
        <v/>
      </c>
      <c r="AD111" s="48">
        <f>IF(B111="","",COUNTIFS('Interview Tracker'!A:A,B111))</f>
        <v/>
      </c>
      <c r="AE111" s="48" t="n"/>
      <c r="AF111" s="48" t="n"/>
      <c r="AG111" s="48" t="n"/>
    </row>
    <row r="112" ht="22" customHeight="1">
      <c r="A112" s="46">
        <f>"APP-"&amp;TEXT(ROW()-1,"000")</f>
        <v/>
      </c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>
        <f>IF(I112="","",TODAY()-I112)</f>
        <v/>
      </c>
      <c r="AC112" s="46">
        <f>IF(M112="","",M112-TODAY())</f>
        <v/>
      </c>
      <c r="AD112" s="46">
        <f>IF(B112="","",COUNTIFS('Interview Tracker'!A:A,B112))</f>
        <v/>
      </c>
      <c r="AE112" s="46" t="n"/>
      <c r="AF112" s="46" t="n"/>
      <c r="AG112" s="46" t="n"/>
    </row>
    <row r="113" ht="22" customHeight="1">
      <c r="A113" s="48">
        <f>"APP-"&amp;TEXT(ROW()-1,"000")</f>
        <v/>
      </c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>
        <f>IF(I113="","",TODAY()-I113)</f>
        <v/>
      </c>
      <c r="AC113" s="48">
        <f>IF(M113="","",M113-TODAY())</f>
        <v/>
      </c>
      <c r="AD113" s="48">
        <f>IF(B113="","",COUNTIFS('Interview Tracker'!A:A,B113))</f>
        <v/>
      </c>
      <c r="AE113" s="48" t="n"/>
      <c r="AF113" s="48" t="n"/>
      <c r="AG113" s="48" t="n"/>
    </row>
    <row r="114" ht="22" customHeight="1">
      <c r="A114" s="46">
        <f>"APP-"&amp;TEXT(ROW()-1,"000")</f>
        <v/>
      </c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>
        <f>IF(I114="","",TODAY()-I114)</f>
        <v/>
      </c>
      <c r="AC114" s="46">
        <f>IF(M114="","",M114-TODAY())</f>
        <v/>
      </c>
      <c r="AD114" s="46">
        <f>IF(B114="","",COUNTIFS('Interview Tracker'!A:A,B114))</f>
        <v/>
      </c>
      <c r="AE114" s="46" t="n"/>
      <c r="AF114" s="46" t="n"/>
      <c r="AG114" s="46" t="n"/>
    </row>
    <row r="115" ht="22" customHeight="1">
      <c r="A115" s="48">
        <f>"APP-"&amp;TEXT(ROW()-1,"000")</f>
        <v/>
      </c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>
        <f>IF(I115="","",TODAY()-I115)</f>
        <v/>
      </c>
      <c r="AC115" s="48">
        <f>IF(M115="","",M115-TODAY())</f>
        <v/>
      </c>
      <c r="AD115" s="48">
        <f>IF(B115="","",COUNTIFS('Interview Tracker'!A:A,B115))</f>
        <v/>
      </c>
      <c r="AE115" s="48" t="n"/>
      <c r="AF115" s="48" t="n"/>
      <c r="AG115" s="48" t="n"/>
    </row>
    <row r="116" ht="22" customHeight="1">
      <c r="A116" s="46">
        <f>"APP-"&amp;TEXT(ROW()-1,"000")</f>
        <v/>
      </c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>
        <f>IF(I116="","",TODAY()-I116)</f>
        <v/>
      </c>
      <c r="AC116" s="46">
        <f>IF(M116="","",M116-TODAY())</f>
        <v/>
      </c>
      <c r="AD116" s="46">
        <f>IF(B116="","",COUNTIFS('Interview Tracker'!A:A,B116))</f>
        <v/>
      </c>
      <c r="AE116" s="46" t="n"/>
      <c r="AF116" s="46" t="n"/>
      <c r="AG116" s="46" t="n"/>
    </row>
    <row r="117" ht="22" customHeight="1">
      <c r="A117" s="48">
        <f>"APP-"&amp;TEXT(ROW()-1,"000")</f>
        <v/>
      </c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>
        <f>IF(I117="","",TODAY()-I117)</f>
        <v/>
      </c>
      <c r="AC117" s="48">
        <f>IF(M117="","",M117-TODAY())</f>
        <v/>
      </c>
      <c r="AD117" s="48">
        <f>IF(B117="","",COUNTIFS('Interview Tracker'!A:A,B117))</f>
        <v/>
      </c>
      <c r="AE117" s="48" t="n"/>
      <c r="AF117" s="48" t="n"/>
      <c r="AG117" s="48" t="n"/>
    </row>
    <row r="118" ht="22" customHeight="1">
      <c r="A118" s="46">
        <f>"APP-"&amp;TEXT(ROW()-1,"000")</f>
        <v/>
      </c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>
        <f>IF(I118="","",TODAY()-I118)</f>
        <v/>
      </c>
      <c r="AC118" s="46">
        <f>IF(M118="","",M118-TODAY())</f>
        <v/>
      </c>
      <c r="AD118" s="46">
        <f>IF(B118="","",COUNTIFS('Interview Tracker'!A:A,B118))</f>
        <v/>
      </c>
      <c r="AE118" s="46" t="n"/>
      <c r="AF118" s="46" t="n"/>
      <c r="AG118" s="46" t="n"/>
    </row>
    <row r="119" ht="22" customHeight="1">
      <c r="A119" s="48">
        <f>"APP-"&amp;TEXT(ROW()-1,"000")</f>
        <v/>
      </c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>
        <f>IF(I119="","",TODAY()-I119)</f>
        <v/>
      </c>
      <c r="AC119" s="48">
        <f>IF(M119="","",M119-TODAY())</f>
        <v/>
      </c>
      <c r="AD119" s="48">
        <f>IF(B119="","",COUNTIFS('Interview Tracker'!A:A,B119))</f>
        <v/>
      </c>
      <c r="AE119" s="48" t="n"/>
      <c r="AF119" s="48" t="n"/>
      <c r="AG119" s="48" t="n"/>
    </row>
    <row r="120" ht="22" customHeight="1">
      <c r="A120" s="46">
        <f>"APP-"&amp;TEXT(ROW()-1,"000")</f>
        <v/>
      </c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>
        <f>IF(I120="","",TODAY()-I120)</f>
        <v/>
      </c>
      <c r="AC120" s="46">
        <f>IF(M120="","",M120-TODAY())</f>
        <v/>
      </c>
      <c r="AD120" s="46">
        <f>IF(B120="","",COUNTIFS('Interview Tracker'!A:A,B120))</f>
        <v/>
      </c>
      <c r="AE120" s="46" t="n"/>
      <c r="AF120" s="46" t="n"/>
      <c r="AG120" s="46" t="n"/>
    </row>
    <row r="121" ht="22" customHeight="1">
      <c r="A121" s="48">
        <f>"APP-"&amp;TEXT(ROW()-1,"000")</f>
        <v/>
      </c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>
        <f>IF(I121="","",TODAY()-I121)</f>
        <v/>
      </c>
      <c r="AC121" s="48">
        <f>IF(M121="","",M121-TODAY())</f>
        <v/>
      </c>
      <c r="AD121" s="48">
        <f>IF(B121="","",COUNTIFS('Interview Tracker'!A:A,B121))</f>
        <v/>
      </c>
      <c r="AE121" s="48" t="n"/>
      <c r="AF121" s="48" t="n"/>
      <c r="AG121" s="48" t="n"/>
    </row>
    <row r="122" ht="22" customHeight="1">
      <c r="A122" s="46">
        <f>"APP-"&amp;TEXT(ROW()-1,"000")</f>
        <v/>
      </c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>
        <f>IF(I122="","",TODAY()-I122)</f>
        <v/>
      </c>
      <c r="AC122" s="46">
        <f>IF(M122="","",M122-TODAY())</f>
        <v/>
      </c>
      <c r="AD122" s="46">
        <f>IF(B122="","",COUNTIFS('Interview Tracker'!A:A,B122))</f>
        <v/>
      </c>
      <c r="AE122" s="46" t="n"/>
      <c r="AF122" s="46" t="n"/>
      <c r="AG122" s="46" t="n"/>
    </row>
    <row r="123" ht="22" customHeight="1">
      <c r="A123" s="48">
        <f>"APP-"&amp;TEXT(ROW()-1,"000")</f>
        <v/>
      </c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>
        <f>IF(I123="","",TODAY()-I123)</f>
        <v/>
      </c>
      <c r="AC123" s="48">
        <f>IF(M123="","",M123-TODAY())</f>
        <v/>
      </c>
      <c r="AD123" s="48">
        <f>IF(B123="","",COUNTIFS('Interview Tracker'!A:A,B123))</f>
        <v/>
      </c>
      <c r="AE123" s="48" t="n"/>
      <c r="AF123" s="48" t="n"/>
      <c r="AG123" s="48" t="n"/>
    </row>
    <row r="124" ht="22" customHeight="1">
      <c r="A124" s="46">
        <f>"APP-"&amp;TEXT(ROW()-1,"000")</f>
        <v/>
      </c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>
        <f>IF(I124="","",TODAY()-I124)</f>
        <v/>
      </c>
      <c r="AC124" s="46">
        <f>IF(M124="","",M124-TODAY())</f>
        <v/>
      </c>
      <c r="AD124" s="46">
        <f>IF(B124="","",COUNTIFS('Interview Tracker'!A:A,B124))</f>
        <v/>
      </c>
      <c r="AE124" s="46" t="n"/>
      <c r="AF124" s="46" t="n"/>
      <c r="AG124" s="46" t="n"/>
    </row>
    <row r="125" ht="22" customHeight="1">
      <c r="A125" s="48">
        <f>"APP-"&amp;TEXT(ROW()-1,"000")</f>
        <v/>
      </c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>
        <f>IF(I125="","",TODAY()-I125)</f>
        <v/>
      </c>
      <c r="AC125" s="48">
        <f>IF(M125="","",M125-TODAY())</f>
        <v/>
      </c>
      <c r="AD125" s="48">
        <f>IF(B125="","",COUNTIFS('Interview Tracker'!A:A,B125))</f>
        <v/>
      </c>
      <c r="AE125" s="48" t="n"/>
      <c r="AF125" s="48" t="n"/>
      <c r="AG125" s="48" t="n"/>
    </row>
    <row r="126" ht="22" customHeight="1">
      <c r="A126" s="46">
        <f>"APP-"&amp;TEXT(ROW()-1,"000")</f>
        <v/>
      </c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>
        <f>IF(I126="","",TODAY()-I126)</f>
        <v/>
      </c>
      <c r="AC126" s="46">
        <f>IF(M126="","",M126-TODAY())</f>
        <v/>
      </c>
      <c r="AD126" s="46">
        <f>IF(B126="","",COUNTIFS('Interview Tracker'!A:A,B126))</f>
        <v/>
      </c>
      <c r="AE126" s="46" t="n"/>
      <c r="AF126" s="46" t="n"/>
      <c r="AG126" s="46" t="n"/>
    </row>
    <row r="127" ht="22" customHeight="1">
      <c r="A127" s="48">
        <f>"APP-"&amp;TEXT(ROW()-1,"000")</f>
        <v/>
      </c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>
        <f>IF(I127="","",TODAY()-I127)</f>
        <v/>
      </c>
      <c r="AC127" s="48">
        <f>IF(M127="","",M127-TODAY())</f>
        <v/>
      </c>
      <c r="AD127" s="48">
        <f>IF(B127="","",COUNTIFS('Interview Tracker'!A:A,B127))</f>
        <v/>
      </c>
      <c r="AE127" s="48" t="n"/>
      <c r="AF127" s="48" t="n"/>
      <c r="AG127" s="48" t="n"/>
    </row>
    <row r="128" ht="22" customHeight="1">
      <c r="A128" s="46">
        <f>"APP-"&amp;TEXT(ROW()-1,"000")</f>
        <v/>
      </c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>
        <f>IF(I128="","",TODAY()-I128)</f>
        <v/>
      </c>
      <c r="AC128" s="46">
        <f>IF(M128="","",M128-TODAY())</f>
        <v/>
      </c>
      <c r="AD128" s="46">
        <f>IF(B128="","",COUNTIFS('Interview Tracker'!A:A,B128))</f>
        <v/>
      </c>
      <c r="AE128" s="46" t="n"/>
      <c r="AF128" s="46" t="n"/>
      <c r="AG128" s="46" t="n"/>
    </row>
    <row r="129" ht="22" customHeight="1">
      <c r="A129" s="48">
        <f>"APP-"&amp;TEXT(ROW()-1,"000")</f>
        <v/>
      </c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>
        <f>IF(I129="","",TODAY()-I129)</f>
        <v/>
      </c>
      <c r="AC129" s="48">
        <f>IF(M129="","",M129-TODAY())</f>
        <v/>
      </c>
      <c r="AD129" s="48">
        <f>IF(B129="","",COUNTIFS('Interview Tracker'!A:A,B129))</f>
        <v/>
      </c>
      <c r="AE129" s="48" t="n"/>
      <c r="AF129" s="48" t="n"/>
      <c r="AG129" s="48" t="n"/>
    </row>
    <row r="130" ht="22" customHeight="1">
      <c r="A130" s="46">
        <f>"APP-"&amp;TEXT(ROW()-1,"000")</f>
        <v/>
      </c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>
        <f>IF(I130="","",TODAY()-I130)</f>
        <v/>
      </c>
      <c r="AC130" s="46">
        <f>IF(M130="","",M130-TODAY())</f>
        <v/>
      </c>
      <c r="AD130" s="46">
        <f>IF(B130="","",COUNTIFS('Interview Tracker'!A:A,B130))</f>
        <v/>
      </c>
      <c r="AE130" s="46" t="n"/>
      <c r="AF130" s="46" t="n"/>
      <c r="AG130" s="46" t="n"/>
    </row>
    <row r="131" ht="22" customHeight="1">
      <c r="A131" s="48">
        <f>"APP-"&amp;TEXT(ROW()-1,"000")</f>
        <v/>
      </c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>
        <f>IF(I131="","",TODAY()-I131)</f>
        <v/>
      </c>
      <c r="AC131" s="48">
        <f>IF(M131="","",M131-TODAY())</f>
        <v/>
      </c>
      <c r="AD131" s="48">
        <f>IF(B131="","",COUNTIFS('Interview Tracker'!A:A,B131))</f>
        <v/>
      </c>
      <c r="AE131" s="48" t="n"/>
      <c r="AF131" s="48" t="n"/>
      <c r="AG131" s="48" t="n"/>
    </row>
    <row r="132" ht="22" customHeight="1">
      <c r="A132" s="46">
        <f>"APP-"&amp;TEXT(ROW()-1,"000")</f>
        <v/>
      </c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>
        <f>IF(I132="","",TODAY()-I132)</f>
        <v/>
      </c>
      <c r="AC132" s="46">
        <f>IF(M132="","",M132-TODAY())</f>
        <v/>
      </c>
      <c r="AD132" s="46">
        <f>IF(B132="","",COUNTIFS('Interview Tracker'!A:A,B132))</f>
        <v/>
      </c>
      <c r="AE132" s="46" t="n"/>
      <c r="AF132" s="46" t="n"/>
      <c r="AG132" s="46" t="n"/>
    </row>
    <row r="133" ht="22" customHeight="1">
      <c r="A133" s="48">
        <f>"APP-"&amp;TEXT(ROW()-1,"000")</f>
        <v/>
      </c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>
        <f>IF(I133="","",TODAY()-I133)</f>
        <v/>
      </c>
      <c r="AC133" s="48">
        <f>IF(M133="","",M133-TODAY())</f>
        <v/>
      </c>
      <c r="AD133" s="48">
        <f>IF(B133="","",COUNTIFS('Interview Tracker'!A:A,B133))</f>
        <v/>
      </c>
      <c r="AE133" s="48" t="n"/>
      <c r="AF133" s="48" t="n"/>
      <c r="AG133" s="48" t="n"/>
    </row>
    <row r="134" ht="22" customHeight="1">
      <c r="A134" s="46">
        <f>"APP-"&amp;TEXT(ROW()-1,"000")</f>
        <v/>
      </c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>
        <f>IF(I134="","",TODAY()-I134)</f>
        <v/>
      </c>
      <c r="AC134" s="46">
        <f>IF(M134="","",M134-TODAY())</f>
        <v/>
      </c>
      <c r="AD134" s="46">
        <f>IF(B134="","",COUNTIFS('Interview Tracker'!A:A,B134))</f>
        <v/>
      </c>
      <c r="AE134" s="46" t="n"/>
      <c r="AF134" s="46" t="n"/>
      <c r="AG134" s="46" t="n"/>
    </row>
    <row r="135" ht="22" customHeight="1">
      <c r="A135" s="48">
        <f>"APP-"&amp;TEXT(ROW()-1,"000")</f>
        <v/>
      </c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>
        <f>IF(I135="","",TODAY()-I135)</f>
        <v/>
      </c>
      <c r="AC135" s="48">
        <f>IF(M135="","",M135-TODAY())</f>
        <v/>
      </c>
      <c r="AD135" s="48">
        <f>IF(B135="","",COUNTIFS('Interview Tracker'!A:A,B135))</f>
        <v/>
      </c>
      <c r="AE135" s="48" t="n"/>
      <c r="AF135" s="48" t="n"/>
      <c r="AG135" s="48" t="n"/>
    </row>
    <row r="136" ht="22" customHeight="1">
      <c r="A136" s="46">
        <f>"APP-"&amp;TEXT(ROW()-1,"000")</f>
        <v/>
      </c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>
        <f>IF(I136="","",TODAY()-I136)</f>
        <v/>
      </c>
      <c r="AC136" s="46">
        <f>IF(M136="","",M136-TODAY())</f>
        <v/>
      </c>
      <c r="AD136" s="46">
        <f>IF(B136="","",COUNTIFS('Interview Tracker'!A:A,B136))</f>
        <v/>
      </c>
      <c r="AE136" s="46" t="n"/>
      <c r="AF136" s="46" t="n"/>
      <c r="AG136" s="46" t="n"/>
    </row>
    <row r="137" ht="22" customHeight="1">
      <c r="A137" s="48">
        <f>"APP-"&amp;TEXT(ROW()-1,"000")</f>
        <v/>
      </c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>
        <f>IF(I137="","",TODAY()-I137)</f>
        <v/>
      </c>
      <c r="AC137" s="48">
        <f>IF(M137="","",M137-TODAY())</f>
        <v/>
      </c>
      <c r="AD137" s="48">
        <f>IF(B137="","",COUNTIFS('Interview Tracker'!A:A,B137))</f>
        <v/>
      </c>
      <c r="AE137" s="48" t="n"/>
      <c r="AF137" s="48" t="n"/>
      <c r="AG137" s="48" t="n"/>
    </row>
    <row r="138" ht="22" customHeight="1">
      <c r="A138" s="46">
        <f>"APP-"&amp;TEXT(ROW()-1,"000")</f>
        <v/>
      </c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>
        <f>IF(I138="","",TODAY()-I138)</f>
        <v/>
      </c>
      <c r="AC138" s="46">
        <f>IF(M138="","",M138-TODAY())</f>
        <v/>
      </c>
      <c r="AD138" s="46">
        <f>IF(B138="","",COUNTIFS('Interview Tracker'!A:A,B138))</f>
        <v/>
      </c>
      <c r="AE138" s="46" t="n"/>
      <c r="AF138" s="46" t="n"/>
      <c r="AG138" s="46" t="n"/>
    </row>
    <row r="139" ht="22" customHeight="1">
      <c r="A139" s="48">
        <f>"APP-"&amp;TEXT(ROW()-1,"000")</f>
        <v/>
      </c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>
        <f>IF(I139="","",TODAY()-I139)</f>
        <v/>
      </c>
      <c r="AC139" s="48">
        <f>IF(M139="","",M139-TODAY())</f>
        <v/>
      </c>
      <c r="AD139" s="48">
        <f>IF(B139="","",COUNTIFS('Interview Tracker'!A:A,B139))</f>
        <v/>
      </c>
      <c r="AE139" s="48" t="n"/>
      <c r="AF139" s="48" t="n"/>
      <c r="AG139" s="48" t="n"/>
    </row>
    <row r="140" ht="22" customHeight="1">
      <c r="A140" s="46">
        <f>"APP-"&amp;TEXT(ROW()-1,"000")</f>
        <v/>
      </c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>
        <f>IF(I140="","",TODAY()-I140)</f>
        <v/>
      </c>
      <c r="AC140" s="46">
        <f>IF(M140="","",M140-TODAY())</f>
        <v/>
      </c>
      <c r="AD140" s="46">
        <f>IF(B140="","",COUNTIFS('Interview Tracker'!A:A,B140))</f>
        <v/>
      </c>
      <c r="AE140" s="46" t="n"/>
      <c r="AF140" s="46" t="n"/>
      <c r="AG140" s="46" t="n"/>
    </row>
    <row r="141" ht="22" customHeight="1">
      <c r="A141" s="48">
        <f>"APP-"&amp;TEXT(ROW()-1,"000")</f>
        <v/>
      </c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>
        <f>IF(I141="","",TODAY()-I141)</f>
        <v/>
      </c>
      <c r="AC141" s="48">
        <f>IF(M141="","",M141-TODAY())</f>
        <v/>
      </c>
      <c r="AD141" s="48">
        <f>IF(B141="","",COUNTIFS('Interview Tracker'!A:A,B141))</f>
        <v/>
      </c>
      <c r="AE141" s="48" t="n"/>
      <c r="AF141" s="48" t="n"/>
      <c r="AG141" s="48" t="n"/>
    </row>
    <row r="142" ht="22" customHeight="1">
      <c r="A142" s="46">
        <f>"APP-"&amp;TEXT(ROW()-1,"000")</f>
        <v/>
      </c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>
        <f>IF(I142="","",TODAY()-I142)</f>
        <v/>
      </c>
      <c r="AC142" s="46">
        <f>IF(M142="","",M142-TODAY())</f>
        <v/>
      </c>
      <c r="AD142" s="46">
        <f>IF(B142="","",COUNTIFS('Interview Tracker'!A:A,B142))</f>
        <v/>
      </c>
      <c r="AE142" s="46" t="n"/>
      <c r="AF142" s="46" t="n"/>
      <c r="AG142" s="46" t="n"/>
    </row>
    <row r="143" ht="22" customHeight="1">
      <c r="A143" s="48">
        <f>"APP-"&amp;TEXT(ROW()-1,"000")</f>
        <v/>
      </c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>
        <f>IF(I143="","",TODAY()-I143)</f>
        <v/>
      </c>
      <c r="AC143" s="48">
        <f>IF(M143="","",M143-TODAY())</f>
        <v/>
      </c>
      <c r="AD143" s="48">
        <f>IF(B143="","",COUNTIFS('Interview Tracker'!A:A,B143))</f>
        <v/>
      </c>
      <c r="AE143" s="48" t="n"/>
      <c r="AF143" s="48" t="n"/>
      <c r="AG143" s="48" t="n"/>
    </row>
    <row r="144" ht="22" customHeight="1">
      <c r="A144" s="46">
        <f>"APP-"&amp;TEXT(ROW()-1,"000")</f>
        <v/>
      </c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>
        <f>IF(I144="","",TODAY()-I144)</f>
        <v/>
      </c>
      <c r="AC144" s="46">
        <f>IF(M144="","",M144-TODAY())</f>
        <v/>
      </c>
      <c r="AD144" s="46">
        <f>IF(B144="","",COUNTIFS('Interview Tracker'!A:A,B144))</f>
        <v/>
      </c>
      <c r="AE144" s="46" t="n"/>
      <c r="AF144" s="46" t="n"/>
      <c r="AG144" s="46" t="n"/>
    </row>
    <row r="145" ht="22" customHeight="1">
      <c r="A145" s="48">
        <f>"APP-"&amp;TEXT(ROW()-1,"000")</f>
        <v/>
      </c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>
        <f>IF(I145="","",TODAY()-I145)</f>
        <v/>
      </c>
      <c r="AC145" s="48">
        <f>IF(M145="","",M145-TODAY())</f>
        <v/>
      </c>
      <c r="AD145" s="48">
        <f>IF(B145="","",COUNTIFS('Interview Tracker'!A:A,B145))</f>
        <v/>
      </c>
      <c r="AE145" s="48" t="n"/>
      <c r="AF145" s="48" t="n"/>
      <c r="AG145" s="48" t="n"/>
    </row>
    <row r="146" ht="22" customHeight="1">
      <c r="A146" s="46">
        <f>"APP-"&amp;TEXT(ROW()-1,"000")</f>
        <v/>
      </c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>
        <f>IF(I146="","",TODAY()-I146)</f>
        <v/>
      </c>
      <c r="AC146" s="46">
        <f>IF(M146="","",M146-TODAY())</f>
        <v/>
      </c>
      <c r="AD146" s="46">
        <f>IF(B146="","",COUNTIFS('Interview Tracker'!A:A,B146))</f>
        <v/>
      </c>
      <c r="AE146" s="46" t="n"/>
      <c r="AF146" s="46" t="n"/>
      <c r="AG146" s="46" t="n"/>
    </row>
    <row r="147" ht="22" customHeight="1">
      <c r="A147" s="48">
        <f>"APP-"&amp;TEXT(ROW()-1,"000")</f>
        <v/>
      </c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>
        <f>IF(I147="","",TODAY()-I147)</f>
        <v/>
      </c>
      <c r="AC147" s="48">
        <f>IF(M147="","",M147-TODAY())</f>
        <v/>
      </c>
      <c r="AD147" s="48">
        <f>IF(B147="","",COUNTIFS('Interview Tracker'!A:A,B147))</f>
        <v/>
      </c>
      <c r="AE147" s="48" t="n"/>
      <c r="AF147" s="48" t="n"/>
      <c r="AG147" s="48" t="n"/>
    </row>
    <row r="148" ht="22" customHeight="1">
      <c r="A148" s="46">
        <f>"APP-"&amp;TEXT(ROW()-1,"000")</f>
        <v/>
      </c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>
        <f>IF(I148="","",TODAY()-I148)</f>
        <v/>
      </c>
      <c r="AC148" s="46">
        <f>IF(M148="","",M148-TODAY())</f>
        <v/>
      </c>
      <c r="AD148" s="46">
        <f>IF(B148="","",COUNTIFS('Interview Tracker'!A:A,B148))</f>
        <v/>
      </c>
      <c r="AE148" s="46" t="n"/>
      <c r="AF148" s="46" t="n"/>
      <c r="AG148" s="46" t="n"/>
    </row>
    <row r="149" ht="22" customHeight="1">
      <c r="A149" s="48">
        <f>"APP-"&amp;TEXT(ROW()-1,"000")</f>
        <v/>
      </c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>
        <f>IF(I149="","",TODAY()-I149)</f>
        <v/>
      </c>
      <c r="AC149" s="48">
        <f>IF(M149="","",M149-TODAY())</f>
        <v/>
      </c>
      <c r="AD149" s="48">
        <f>IF(B149="","",COUNTIFS('Interview Tracker'!A:A,B149))</f>
        <v/>
      </c>
      <c r="AE149" s="48" t="n"/>
      <c r="AF149" s="48" t="n"/>
      <c r="AG149" s="48" t="n"/>
    </row>
    <row r="150" ht="22" customHeight="1">
      <c r="A150" s="46">
        <f>"APP-"&amp;TEXT(ROW()-1,"000")</f>
        <v/>
      </c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  <c r="AA150" s="46" t="n"/>
      <c r="AB150" s="46">
        <f>IF(I150="","",TODAY()-I150)</f>
        <v/>
      </c>
      <c r="AC150" s="46">
        <f>IF(M150="","",M150-TODAY())</f>
        <v/>
      </c>
      <c r="AD150" s="46">
        <f>IF(B150="","",COUNTIFS('Interview Tracker'!A:A,B150))</f>
        <v/>
      </c>
      <c r="AE150" s="46" t="n"/>
      <c r="AF150" s="46" t="n"/>
      <c r="AG150" s="46" t="n"/>
    </row>
    <row r="151" ht="22" customHeight="1">
      <c r="A151" s="48">
        <f>"APP-"&amp;TEXT(ROW()-1,"000")</f>
        <v/>
      </c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>
        <f>IF(I151="","",TODAY()-I151)</f>
        <v/>
      </c>
      <c r="AC151" s="48">
        <f>IF(M151="","",M151-TODAY())</f>
        <v/>
      </c>
      <c r="AD151" s="48">
        <f>IF(B151="","",COUNTIFS('Interview Tracker'!A:A,B151))</f>
        <v/>
      </c>
      <c r="AE151" s="48" t="n"/>
      <c r="AF151" s="48" t="n"/>
      <c r="AG151" s="48" t="n"/>
    </row>
    <row r="152" ht="22" customHeight="1">
      <c r="A152" s="46">
        <f>"APP-"&amp;TEXT(ROW()-1,"000")</f>
        <v/>
      </c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6" t="n"/>
      <c r="AB152" s="46">
        <f>IF(I152="","",TODAY()-I152)</f>
        <v/>
      </c>
      <c r="AC152" s="46">
        <f>IF(M152="","",M152-TODAY())</f>
        <v/>
      </c>
      <c r="AD152" s="46">
        <f>IF(B152="","",COUNTIFS('Interview Tracker'!A:A,B152))</f>
        <v/>
      </c>
      <c r="AE152" s="46" t="n"/>
      <c r="AF152" s="46" t="n"/>
      <c r="AG152" s="46" t="n"/>
    </row>
    <row r="153" ht="22" customHeight="1">
      <c r="A153" s="48">
        <f>"APP-"&amp;TEXT(ROW()-1,"000")</f>
        <v/>
      </c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>
        <f>IF(I153="","",TODAY()-I153)</f>
        <v/>
      </c>
      <c r="AC153" s="48">
        <f>IF(M153="","",M153-TODAY())</f>
        <v/>
      </c>
      <c r="AD153" s="48">
        <f>IF(B153="","",COUNTIFS('Interview Tracker'!A:A,B153))</f>
        <v/>
      </c>
      <c r="AE153" s="48" t="n"/>
      <c r="AF153" s="48" t="n"/>
      <c r="AG153" s="48" t="n"/>
    </row>
    <row r="154" ht="22" customHeight="1">
      <c r="A154" s="46">
        <f>"APP-"&amp;TEXT(ROW()-1,"000")</f>
        <v/>
      </c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6" t="n"/>
      <c r="AB154" s="46">
        <f>IF(I154="","",TODAY()-I154)</f>
        <v/>
      </c>
      <c r="AC154" s="46">
        <f>IF(M154="","",M154-TODAY())</f>
        <v/>
      </c>
      <c r="AD154" s="46">
        <f>IF(B154="","",COUNTIFS('Interview Tracker'!A:A,B154))</f>
        <v/>
      </c>
      <c r="AE154" s="46" t="n"/>
      <c r="AF154" s="46" t="n"/>
      <c r="AG154" s="46" t="n"/>
    </row>
    <row r="155" ht="22" customHeight="1">
      <c r="A155" s="48">
        <f>"APP-"&amp;TEXT(ROW()-1,"000")</f>
        <v/>
      </c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>
        <f>IF(I155="","",TODAY()-I155)</f>
        <v/>
      </c>
      <c r="AC155" s="48">
        <f>IF(M155="","",M155-TODAY())</f>
        <v/>
      </c>
      <c r="AD155" s="48">
        <f>IF(B155="","",COUNTIFS('Interview Tracker'!A:A,B155))</f>
        <v/>
      </c>
      <c r="AE155" s="48" t="n"/>
      <c r="AF155" s="48" t="n"/>
      <c r="AG155" s="48" t="n"/>
    </row>
    <row r="156" ht="22" customHeight="1">
      <c r="A156" s="46">
        <f>"APP-"&amp;TEXT(ROW()-1,"000")</f>
        <v/>
      </c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6" t="n"/>
      <c r="AB156" s="46">
        <f>IF(I156="","",TODAY()-I156)</f>
        <v/>
      </c>
      <c r="AC156" s="46">
        <f>IF(M156="","",M156-TODAY())</f>
        <v/>
      </c>
      <c r="AD156" s="46">
        <f>IF(B156="","",COUNTIFS('Interview Tracker'!A:A,B156))</f>
        <v/>
      </c>
      <c r="AE156" s="46" t="n"/>
      <c r="AF156" s="46" t="n"/>
      <c r="AG156" s="46" t="n"/>
    </row>
    <row r="157" ht="22" customHeight="1">
      <c r="A157" s="48">
        <f>"APP-"&amp;TEXT(ROW()-1,"000")</f>
        <v/>
      </c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>
        <f>IF(I157="","",TODAY()-I157)</f>
        <v/>
      </c>
      <c r="AC157" s="48">
        <f>IF(M157="","",M157-TODAY())</f>
        <v/>
      </c>
      <c r="AD157" s="48">
        <f>IF(B157="","",COUNTIFS('Interview Tracker'!A:A,B157))</f>
        <v/>
      </c>
      <c r="AE157" s="48" t="n"/>
      <c r="AF157" s="48" t="n"/>
      <c r="AG157" s="48" t="n"/>
    </row>
    <row r="158" ht="22" customHeight="1">
      <c r="A158" s="46">
        <f>"APP-"&amp;TEXT(ROW()-1,"000")</f>
        <v/>
      </c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6" t="n"/>
      <c r="AB158" s="46">
        <f>IF(I158="","",TODAY()-I158)</f>
        <v/>
      </c>
      <c r="AC158" s="46">
        <f>IF(M158="","",M158-TODAY())</f>
        <v/>
      </c>
      <c r="AD158" s="46">
        <f>IF(B158="","",COUNTIFS('Interview Tracker'!A:A,B158))</f>
        <v/>
      </c>
      <c r="AE158" s="46" t="n"/>
      <c r="AF158" s="46" t="n"/>
      <c r="AG158" s="46" t="n"/>
    </row>
    <row r="159" ht="22" customHeight="1">
      <c r="A159" s="48">
        <f>"APP-"&amp;TEXT(ROW()-1,"000")</f>
        <v/>
      </c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>
        <f>IF(I159="","",TODAY()-I159)</f>
        <v/>
      </c>
      <c r="AC159" s="48">
        <f>IF(M159="","",M159-TODAY())</f>
        <v/>
      </c>
      <c r="AD159" s="48">
        <f>IF(B159="","",COUNTIFS('Interview Tracker'!A:A,B159))</f>
        <v/>
      </c>
      <c r="AE159" s="48" t="n"/>
      <c r="AF159" s="48" t="n"/>
      <c r="AG159" s="48" t="n"/>
    </row>
    <row r="160" ht="22" customHeight="1">
      <c r="A160" s="46">
        <f>"APP-"&amp;TEXT(ROW()-1,"000")</f>
        <v/>
      </c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6" t="n"/>
      <c r="AB160" s="46">
        <f>IF(I160="","",TODAY()-I160)</f>
        <v/>
      </c>
      <c r="AC160" s="46">
        <f>IF(M160="","",M160-TODAY())</f>
        <v/>
      </c>
      <c r="AD160" s="46">
        <f>IF(B160="","",COUNTIFS('Interview Tracker'!A:A,B160))</f>
        <v/>
      </c>
      <c r="AE160" s="46" t="n"/>
      <c r="AF160" s="46" t="n"/>
      <c r="AG160" s="46" t="n"/>
    </row>
    <row r="161" ht="22" customHeight="1">
      <c r="A161" s="48">
        <f>"APP-"&amp;TEXT(ROW()-1,"000")</f>
        <v/>
      </c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>
        <f>IF(I161="","",TODAY()-I161)</f>
        <v/>
      </c>
      <c r="AC161" s="48">
        <f>IF(M161="","",M161-TODAY())</f>
        <v/>
      </c>
      <c r="AD161" s="48">
        <f>IF(B161="","",COUNTIFS('Interview Tracker'!A:A,B161))</f>
        <v/>
      </c>
      <c r="AE161" s="48" t="n"/>
      <c r="AF161" s="48" t="n"/>
      <c r="AG161" s="48" t="n"/>
    </row>
    <row r="162" ht="22" customHeight="1">
      <c r="A162" s="46">
        <f>"APP-"&amp;TEXT(ROW()-1,"000")</f>
        <v/>
      </c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6" t="n"/>
      <c r="AB162" s="46">
        <f>IF(I162="","",TODAY()-I162)</f>
        <v/>
      </c>
      <c r="AC162" s="46">
        <f>IF(M162="","",M162-TODAY())</f>
        <v/>
      </c>
      <c r="AD162" s="46">
        <f>IF(B162="","",COUNTIFS('Interview Tracker'!A:A,B162))</f>
        <v/>
      </c>
      <c r="AE162" s="46" t="n"/>
      <c r="AF162" s="46" t="n"/>
      <c r="AG162" s="46" t="n"/>
    </row>
    <row r="163" ht="22" customHeight="1">
      <c r="A163" s="48">
        <f>"APP-"&amp;TEXT(ROW()-1,"000")</f>
        <v/>
      </c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>
        <f>IF(I163="","",TODAY()-I163)</f>
        <v/>
      </c>
      <c r="AC163" s="48">
        <f>IF(M163="","",M163-TODAY())</f>
        <v/>
      </c>
      <c r="AD163" s="48">
        <f>IF(B163="","",COUNTIFS('Interview Tracker'!A:A,B163))</f>
        <v/>
      </c>
      <c r="AE163" s="48" t="n"/>
      <c r="AF163" s="48" t="n"/>
      <c r="AG163" s="48" t="n"/>
    </row>
    <row r="164" ht="22" customHeight="1">
      <c r="A164" s="46">
        <f>"APP-"&amp;TEXT(ROW()-1,"000")</f>
        <v/>
      </c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6" t="n"/>
      <c r="AB164" s="46">
        <f>IF(I164="","",TODAY()-I164)</f>
        <v/>
      </c>
      <c r="AC164" s="46">
        <f>IF(M164="","",M164-TODAY())</f>
        <v/>
      </c>
      <c r="AD164" s="46">
        <f>IF(B164="","",COUNTIFS('Interview Tracker'!A:A,B164))</f>
        <v/>
      </c>
      <c r="AE164" s="46" t="n"/>
      <c r="AF164" s="46" t="n"/>
      <c r="AG164" s="46" t="n"/>
    </row>
    <row r="165" ht="22" customHeight="1">
      <c r="A165" s="48">
        <f>"APP-"&amp;TEXT(ROW()-1,"000")</f>
        <v/>
      </c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>
        <f>IF(I165="","",TODAY()-I165)</f>
        <v/>
      </c>
      <c r="AC165" s="48">
        <f>IF(M165="","",M165-TODAY())</f>
        <v/>
      </c>
      <c r="AD165" s="48">
        <f>IF(B165="","",COUNTIFS('Interview Tracker'!A:A,B165))</f>
        <v/>
      </c>
      <c r="AE165" s="48" t="n"/>
      <c r="AF165" s="48" t="n"/>
      <c r="AG165" s="48" t="n"/>
    </row>
    <row r="166" ht="22" customHeight="1">
      <c r="A166" s="46">
        <f>"APP-"&amp;TEXT(ROW()-1,"000")</f>
        <v/>
      </c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6" t="n"/>
      <c r="AB166" s="46">
        <f>IF(I166="","",TODAY()-I166)</f>
        <v/>
      </c>
      <c r="AC166" s="46">
        <f>IF(M166="","",M166-TODAY())</f>
        <v/>
      </c>
      <c r="AD166" s="46">
        <f>IF(B166="","",COUNTIFS('Interview Tracker'!A:A,B166))</f>
        <v/>
      </c>
      <c r="AE166" s="46" t="n"/>
      <c r="AF166" s="46" t="n"/>
      <c r="AG166" s="46" t="n"/>
    </row>
    <row r="167" ht="22" customHeight="1">
      <c r="A167" s="48">
        <f>"APP-"&amp;TEXT(ROW()-1,"000")</f>
        <v/>
      </c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>
        <f>IF(I167="","",TODAY()-I167)</f>
        <v/>
      </c>
      <c r="AC167" s="48">
        <f>IF(M167="","",M167-TODAY())</f>
        <v/>
      </c>
      <c r="AD167" s="48">
        <f>IF(B167="","",COUNTIFS('Interview Tracker'!A:A,B167))</f>
        <v/>
      </c>
      <c r="AE167" s="48" t="n"/>
      <c r="AF167" s="48" t="n"/>
      <c r="AG167" s="48" t="n"/>
    </row>
    <row r="168" ht="22" customHeight="1">
      <c r="A168" s="46">
        <f>"APP-"&amp;TEXT(ROW()-1,"000")</f>
        <v/>
      </c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6" t="n"/>
      <c r="AB168" s="46">
        <f>IF(I168="","",TODAY()-I168)</f>
        <v/>
      </c>
      <c r="AC168" s="46">
        <f>IF(M168="","",M168-TODAY())</f>
        <v/>
      </c>
      <c r="AD168" s="46">
        <f>IF(B168="","",COUNTIFS('Interview Tracker'!A:A,B168))</f>
        <v/>
      </c>
      <c r="AE168" s="46" t="n"/>
      <c r="AF168" s="46" t="n"/>
      <c r="AG168" s="46" t="n"/>
    </row>
    <row r="169" ht="22" customHeight="1">
      <c r="A169" s="48">
        <f>"APP-"&amp;TEXT(ROW()-1,"000")</f>
        <v/>
      </c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>
        <f>IF(I169="","",TODAY()-I169)</f>
        <v/>
      </c>
      <c r="AC169" s="48">
        <f>IF(M169="","",M169-TODAY())</f>
        <v/>
      </c>
      <c r="AD169" s="48">
        <f>IF(B169="","",COUNTIFS('Interview Tracker'!A:A,B169))</f>
        <v/>
      </c>
      <c r="AE169" s="48" t="n"/>
      <c r="AF169" s="48" t="n"/>
      <c r="AG169" s="48" t="n"/>
    </row>
    <row r="170" ht="22" customHeight="1">
      <c r="A170" s="46">
        <f>"APP-"&amp;TEXT(ROW()-1,"000")</f>
        <v/>
      </c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  <c r="AA170" s="46" t="n"/>
      <c r="AB170" s="46">
        <f>IF(I170="","",TODAY()-I170)</f>
        <v/>
      </c>
      <c r="AC170" s="46">
        <f>IF(M170="","",M170-TODAY())</f>
        <v/>
      </c>
      <c r="AD170" s="46">
        <f>IF(B170="","",COUNTIFS('Interview Tracker'!A:A,B170))</f>
        <v/>
      </c>
      <c r="AE170" s="46" t="n"/>
      <c r="AF170" s="46" t="n"/>
      <c r="AG170" s="46" t="n"/>
    </row>
    <row r="171" ht="22" customHeight="1">
      <c r="A171" s="48">
        <f>"APP-"&amp;TEXT(ROW()-1,"000")</f>
        <v/>
      </c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>
        <f>IF(I171="","",TODAY()-I171)</f>
        <v/>
      </c>
      <c r="AC171" s="48">
        <f>IF(M171="","",M171-TODAY())</f>
        <v/>
      </c>
      <c r="AD171" s="48">
        <f>IF(B171="","",COUNTIFS('Interview Tracker'!A:A,B171))</f>
        <v/>
      </c>
      <c r="AE171" s="48" t="n"/>
      <c r="AF171" s="48" t="n"/>
      <c r="AG171" s="48" t="n"/>
    </row>
    <row r="172" ht="22" customHeight="1">
      <c r="A172" s="46">
        <f>"APP-"&amp;TEXT(ROW()-1,"000")</f>
        <v/>
      </c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  <c r="AA172" s="46" t="n"/>
      <c r="AB172" s="46">
        <f>IF(I172="","",TODAY()-I172)</f>
        <v/>
      </c>
      <c r="AC172" s="46">
        <f>IF(M172="","",M172-TODAY())</f>
        <v/>
      </c>
      <c r="AD172" s="46">
        <f>IF(B172="","",COUNTIFS('Interview Tracker'!A:A,B172))</f>
        <v/>
      </c>
      <c r="AE172" s="46" t="n"/>
      <c r="AF172" s="46" t="n"/>
      <c r="AG172" s="46" t="n"/>
    </row>
    <row r="173" ht="22" customHeight="1">
      <c r="A173" s="48">
        <f>"APP-"&amp;TEXT(ROW()-1,"000")</f>
        <v/>
      </c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>
        <f>IF(I173="","",TODAY()-I173)</f>
        <v/>
      </c>
      <c r="AC173" s="48">
        <f>IF(M173="","",M173-TODAY())</f>
        <v/>
      </c>
      <c r="AD173" s="48">
        <f>IF(B173="","",COUNTIFS('Interview Tracker'!A:A,B173))</f>
        <v/>
      </c>
      <c r="AE173" s="48" t="n"/>
      <c r="AF173" s="48" t="n"/>
      <c r="AG173" s="48" t="n"/>
    </row>
    <row r="174" ht="22" customHeight="1">
      <c r="A174" s="46">
        <f>"APP-"&amp;TEXT(ROW()-1,"000")</f>
        <v/>
      </c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  <c r="AA174" s="46" t="n"/>
      <c r="AB174" s="46">
        <f>IF(I174="","",TODAY()-I174)</f>
        <v/>
      </c>
      <c r="AC174" s="46">
        <f>IF(M174="","",M174-TODAY())</f>
        <v/>
      </c>
      <c r="AD174" s="46">
        <f>IF(B174="","",COUNTIFS('Interview Tracker'!A:A,B174))</f>
        <v/>
      </c>
      <c r="AE174" s="46" t="n"/>
      <c r="AF174" s="46" t="n"/>
      <c r="AG174" s="46" t="n"/>
    </row>
    <row r="175" ht="22" customHeight="1">
      <c r="A175" s="48">
        <f>"APP-"&amp;TEXT(ROW()-1,"000")</f>
        <v/>
      </c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>
        <f>IF(I175="","",TODAY()-I175)</f>
        <v/>
      </c>
      <c r="AC175" s="48">
        <f>IF(M175="","",M175-TODAY())</f>
        <v/>
      </c>
      <c r="AD175" s="48">
        <f>IF(B175="","",COUNTIFS('Interview Tracker'!A:A,B175))</f>
        <v/>
      </c>
      <c r="AE175" s="48" t="n"/>
      <c r="AF175" s="48" t="n"/>
      <c r="AG175" s="48" t="n"/>
    </row>
    <row r="176" ht="22" customHeight="1">
      <c r="A176" s="46">
        <f>"APP-"&amp;TEXT(ROW()-1,"000")</f>
        <v/>
      </c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  <c r="AA176" s="46" t="n"/>
      <c r="AB176" s="46">
        <f>IF(I176="","",TODAY()-I176)</f>
        <v/>
      </c>
      <c r="AC176" s="46">
        <f>IF(M176="","",M176-TODAY())</f>
        <v/>
      </c>
      <c r="AD176" s="46">
        <f>IF(B176="","",COUNTIFS('Interview Tracker'!A:A,B176))</f>
        <v/>
      </c>
      <c r="AE176" s="46" t="n"/>
      <c r="AF176" s="46" t="n"/>
      <c r="AG176" s="46" t="n"/>
    </row>
    <row r="177" ht="22" customHeight="1">
      <c r="A177" s="48">
        <f>"APP-"&amp;TEXT(ROW()-1,"000")</f>
        <v/>
      </c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>
        <f>IF(I177="","",TODAY()-I177)</f>
        <v/>
      </c>
      <c r="AC177" s="48">
        <f>IF(M177="","",M177-TODAY())</f>
        <v/>
      </c>
      <c r="AD177" s="48">
        <f>IF(B177="","",COUNTIFS('Interview Tracker'!A:A,B177))</f>
        <v/>
      </c>
      <c r="AE177" s="48" t="n"/>
      <c r="AF177" s="48" t="n"/>
      <c r="AG177" s="48" t="n"/>
    </row>
    <row r="178" ht="22" customHeight="1">
      <c r="A178" s="46">
        <f>"APP-"&amp;TEXT(ROW()-1,"000")</f>
        <v/>
      </c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  <c r="AA178" s="46" t="n"/>
      <c r="AB178" s="46">
        <f>IF(I178="","",TODAY()-I178)</f>
        <v/>
      </c>
      <c r="AC178" s="46">
        <f>IF(M178="","",M178-TODAY())</f>
        <v/>
      </c>
      <c r="AD178" s="46">
        <f>IF(B178="","",COUNTIFS('Interview Tracker'!A:A,B178))</f>
        <v/>
      </c>
      <c r="AE178" s="46" t="n"/>
      <c r="AF178" s="46" t="n"/>
      <c r="AG178" s="46" t="n"/>
    </row>
    <row r="179" ht="22" customHeight="1">
      <c r="A179" s="48">
        <f>"APP-"&amp;TEXT(ROW()-1,"000")</f>
        <v/>
      </c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>
        <f>IF(I179="","",TODAY()-I179)</f>
        <v/>
      </c>
      <c r="AC179" s="48">
        <f>IF(M179="","",M179-TODAY())</f>
        <v/>
      </c>
      <c r="AD179" s="48">
        <f>IF(B179="","",COUNTIFS('Interview Tracker'!A:A,B179))</f>
        <v/>
      </c>
      <c r="AE179" s="48" t="n"/>
      <c r="AF179" s="48" t="n"/>
      <c r="AG179" s="48" t="n"/>
    </row>
    <row r="180" ht="22" customHeight="1">
      <c r="A180" s="46">
        <f>"APP-"&amp;TEXT(ROW()-1,"000")</f>
        <v/>
      </c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  <c r="AA180" s="46" t="n"/>
      <c r="AB180" s="46">
        <f>IF(I180="","",TODAY()-I180)</f>
        <v/>
      </c>
      <c r="AC180" s="46">
        <f>IF(M180="","",M180-TODAY())</f>
        <v/>
      </c>
      <c r="AD180" s="46">
        <f>IF(B180="","",COUNTIFS('Interview Tracker'!A:A,B180))</f>
        <v/>
      </c>
      <c r="AE180" s="46" t="n"/>
      <c r="AF180" s="46" t="n"/>
      <c r="AG180" s="46" t="n"/>
    </row>
    <row r="181" ht="22" customHeight="1">
      <c r="A181" s="48">
        <f>"APP-"&amp;TEXT(ROW()-1,"000")</f>
        <v/>
      </c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>
        <f>IF(I181="","",TODAY()-I181)</f>
        <v/>
      </c>
      <c r="AC181" s="48">
        <f>IF(M181="","",M181-TODAY())</f>
        <v/>
      </c>
      <c r="AD181" s="48">
        <f>IF(B181="","",COUNTIFS('Interview Tracker'!A:A,B181))</f>
        <v/>
      </c>
      <c r="AE181" s="48" t="n"/>
      <c r="AF181" s="48" t="n"/>
      <c r="AG181" s="48" t="n"/>
    </row>
    <row r="182" ht="22" customHeight="1">
      <c r="A182" s="46">
        <f>"APP-"&amp;TEXT(ROW()-1,"000")</f>
        <v/>
      </c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  <c r="AA182" s="46" t="n"/>
      <c r="AB182" s="46">
        <f>IF(I182="","",TODAY()-I182)</f>
        <v/>
      </c>
      <c r="AC182" s="46">
        <f>IF(M182="","",M182-TODAY())</f>
        <v/>
      </c>
      <c r="AD182" s="46">
        <f>IF(B182="","",COUNTIFS('Interview Tracker'!A:A,B182))</f>
        <v/>
      </c>
      <c r="AE182" s="46" t="n"/>
      <c r="AF182" s="46" t="n"/>
      <c r="AG182" s="46" t="n"/>
    </row>
    <row r="183" ht="22" customHeight="1">
      <c r="A183" s="48">
        <f>"APP-"&amp;TEXT(ROW()-1,"000")</f>
        <v/>
      </c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>
        <f>IF(I183="","",TODAY()-I183)</f>
        <v/>
      </c>
      <c r="AC183" s="48">
        <f>IF(M183="","",M183-TODAY())</f>
        <v/>
      </c>
      <c r="AD183" s="48">
        <f>IF(B183="","",COUNTIFS('Interview Tracker'!A:A,B183))</f>
        <v/>
      </c>
      <c r="AE183" s="48" t="n"/>
      <c r="AF183" s="48" t="n"/>
      <c r="AG183" s="48" t="n"/>
    </row>
    <row r="184" ht="22" customHeight="1">
      <c r="A184" s="46">
        <f>"APP-"&amp;TEXT(ROW()-1,"000")</f>
        <v/>
      </c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  <c r="AA184" s="46" t="n"/>
      <c r="AB184" s="46">
        <f>IF(I184="","",TODAY()-I184)</f>
        <v/>
      </c>
      <c r="AC184" s="46">
        <f>IF(M184="","",M184-TODAY())</f>
        <v/>
      </c>
      <c r="AD184" s="46">
        <f>IF(B184="","",COUNTIFS('Interview Tracker'!A:A,B184))</f>
        <v/>
      </c>
      <c r="AE184" s="46" t="n"/>
      <c r="AF184" s="46" t="n"/>
      <c r="AG184" s="46" t="n"/>
    </row>
    <row r="185" ht="22" customHeight="1">
      <c r="A185" s="48">
        <f>"APP-"&amp;TEXT(ROW()-1,"000")</f>
        <v/>
      </c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>
        <f>IF(I185="","",TODAY()-I185)</f>
        <v/>
      </c>
      <c r="AC185" s="48">
        <f>IF(M185="","",M185-TODAY())</f>
        <v/>
      </c>
      <c r="AD185" s="48">
        <f>IF(B185="","",COUNTIFS('Interview Tracker'!A:A,B185))</f>
        <v/>
      </c>
      <c r="AE185" s="48" t="n"/>
      <c r="AF185" s="48" t="n"/>
      <c r="AG185" s="48" t="n"/>
    </row>
    <row r="186" ht="22" customHeight="1">
      <c r="A186" s="46">
        <f>"APP-"&amp;TEXT(ROW()-1,"000")</f>
        <v/>
      </c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  <c r="AA186" s="46" t="n"/>
      <c r="AB186" s="46">
        <f>IF(I186="","",TODAY()-I186)</f>
        <v/>
      </c>
      <c r="AC186" s="46">
        <f>IF(M186="","",M186-TODAY())</f>
        <v/>
      </c>
      <c r="AD186" s="46">
        <f>IF(B186="","",COUNTIFS('Interview Tracker'!A:A,B186))</f>
        <v/>
      </c>
      <c r="AE186" s="46" t="n"/>
      <c r="AF186" s="46" t="n"/>
      <c r="AG186" s="46" t="n"/>
    </row>
    <row r="187" ht="22" customHeight="1">
      <c r="A187" s="48">
        <f>"APP-"&amp;TEXT(ROW()-1,"000")</f>
        <v/>
      </c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>
        <f>IF(I187="","",TODAY()-I187)</f>
        <v/>
      </c>
      <c r="AC187" s="48">
        <f>IF(M187="","",M187-TODAY())</f>
        <v/>
      </c>
      <c r="AD187" s="48">
        <f>IF(B187="","",COUNTIFS('Interview Tracker'!A:A,B187))</f>
        <v/>
      </c>
      <c r="AE187" s="48" t="n"/>
      <c r="AF187" s="48" t="n"/>
      <c r="AG187" s="48" t="n"/>
    </row>
    <row r="188" ht="22" customHeight="1">
      <c r="A188" s="46">
        <f>"APP-"&amp;TEXT(ROW()-1,"000")</f>
        <v/>
      </c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  <c r="AA188" s="46" t="n"/>
      <c r="AB188" s="46">
        <f>IF(I188="","",TODAY()-I188)</f>
        <v/>
      </c>
      <c r="AC188" s="46">
        <f>IF(M188="","",M188-TODAY())</f>
        <v/>
      </c>
      <c r="AD188" s="46">
        <f>IF(B188="","",COUNTIFS('Interview Tracker'!A:A,B188))</f>
        <v/>
      </c>
      <c r="AE188" s="46" t="n"/>
      <c r="AF188" s="46" t="n"/>
      <c r="AG188" s="46" t="n"/>
    </row>
    <row r="189" ht="22" customHeight="1">
      <c r="A189" s="48">
        <f>"APP-"&amp;TEXT(ROW()-1,"000")</f>
        <v/>
      </c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>
        <f>IF(I189="","",TODAY()-I189)</f>
        <v/>
      </c>
      <c r="AC189" s="48">
        <f>IF(M189="","",M189-TODAY())</f>
        <v/>
      </c>
      <c r="AD189" s="48">
        <f>IF(B189="","",COUNTIFS('Interview Tracker'!A:A,B189))</f>
        <v/>
      </c>
      <c r="AE189" s="48" t="n"/>
      <c r="AF189" s="48" t="n"/>
      <c r="AG189" s="48" t="n"/>
    </row>
    <row r="190" ht="22" customHeight="1">
      <c r="A190" s="46">
        <f>"APP-"&amp;TEXT(ROW()-1,"000")</f>
        <v/>
      </c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  <c r="AA190" s="46" t="n"/>
      <c r="AB190" s="46">
        <f>IF(I190="","",TODAY()-I190)</f>
        <v/>
      </c>
      <c r="AC190" s="46">
        <f>IF(M190="","",M190-TODAY())</f>
        <v/>
      </c>
      <c r="AD190" s="46">
        <f>IF(B190="","",COUNTIFS('Interview Tracker'!A:A,B190))</f>
        <v/>
      </c>
      <c r="AE190" s="46" t="n"/>
      <c r="AF190" s="46" t="n"/>
      <c r="AG190" s="46" t="n"/>
    </row>
    <row r="191" ht="22" customHeight="1">
      <c r="A191" s="48">
        <f>"APP-"&amp;TEXT(ROW()-1,"000")</f>
        <v/>
      </c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>
        <f>IF(I191="","",TODAY()-I191)</f>
        <v/>
      </c>
      <c r="AC191" s="48">
        <f>IF(M191="","",M191-TODAY())</f>
        <v/>
      </c>
      <c r="AD191" s="48">
        <f>IF(B191="","",COUNTIFS('Interview Tracker'!A:A,B191))</f>
        <v/>
      </c>
      <c r="AE191" s="48" t="n"/>
      <c r="AF191" s="48" t="n"/>
      <c r="AG191" s="48" t="n"/>
    </row>
    <row r="192" ht="22" customHeight="1">
      <c r="A192" s="46">
        <f>"APP-"&amp;TEXT(ROW()-1,"000")</f>
        <v/>
      </c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  <c r="AA192" s="46" t="n"/>
      <c r="AB192" s="46">
        <f>IF(I192="","",TODAY()-I192)</f>
        <v/>
      </c>
      <c r="AC192" s="46">
        <f>IF(M192="","",M192-TODAY())</f>
        <v/>
      </c>
      <c r="AD192" s="46">
        <f>IF(B192="","",COUNTIFS('Interview Tracker'!A:A,B192))</f>
        <v/>
      </c>
      <c r="AE192" s="46" t="n"/>
      <c r="AF192" s="46" t="n"/>
      <c r="AG192" s="46" t="n"/>
    </row>
    <row r="193" ht="22" customHeight="1">
      <c r="A193" s="48">
        <f>"APP-"&amp;TEXT(ROW()-1,"000")</f>
        <v/>
      </c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>
        <f>IF(I193="","",TODAY()-I193)</f>
        <v/>
      </c>
      <c r="AC193" s="48">
        <f>IF(M193="","",M193-TODAY())</f>
        <v/>
      </c>
      <c r="AD193" s="48">
        <f>IF(B193="","",COUNTIFS('Interview Tracker'!A:A,B193))</f>
        <v/>
      </c>
      <c r="AE193" s="48" t="n"/>
      <c r="AF193" s="48" t="n"/>
      <c r="AG193" s="48" t="n"/>
    </row>
    <row r="194" ht="22" customHeight="1">
      <c r="A194" s="46">
        <f>"APP-"&amp;TEXT(ROW()-1,"000")</f>
        <v/>
      </c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  <c r="AA194" s="46" t="n"/>
      <c r="AB194" s="46">
        <f>IF(I194="","",TODAY()-I194)</f>
        <v/>
      </c>
      <c r="AC194" s="46">
        <f>IF(M194="","",M194-TODAY())</f>
        <v/>
      </c>
      <c r="AD194" s="46">
        <f>IF(B194="","",COUNTIFS('Interview Tracker'!A:A,B194))</f>
        <v/>
      </c>
      <c r="AE194" s="46" t="n"/>
      <c r="AF194" s="46" t="n"/>
      <c r="AG194" s="46" t="n"/>
    </row>
    <row r="195" ht="22" customHeight="1">
      <c r="A195" s="48">
        <f>"APP-"&amp;TEXT(ROW()-1,"000")</f>
        <v/>
      </c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>
        <f>IF(I195="","",TODAY()-I195)</f>
        <v/>
      </c>
      <c r="AC195" s="48">
        <f>IF(M195="","",M195-TODAY())</f>
        <v/>
      </c>
      <c r="AD195" s="48">
        <f>IF(B195="","",COUNTIFS('Interview Tracker'!A:A,B195))</f>
        <v/>
      </c>
      <c r="AE195" s="48" t="n"/>
      <c r="AF195" s="48" t="n"/>
      <c r="AG195" s="48" t="n"/>
    </row>
    <row r="196" ht="22" customHeight="1">
      <c r="A196" s="46">
        <f>"APP-"&amp;TEXT(ROW()-1,"000")</f>
        <v/>
      </c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  <c r="AA196" s="46" t="n"/>
      <c r="AB196" s="46">
        <f>IF(I196="","",TODAY()-I196)</f>
        <v/>
      </c>
      <c r="AC196" s="46">
        <f>IF(M196="","",M196-TODAY())</f>
        <v/>
      </c>
      <c r="AD196" s="46">
        <f>IF(B196="","",COUNTIFS('Interview Tracker'!A:A,B196))</f>
        <v/>
      </c>
      <c r="AE196" s="46" t="n"/>
      <c r="AF196" s="46" t="n"/>
      <c r="AG196" s="46" t="n"/>
    </row>
    <row r="197" ht="22" customHeight="1">
      <c r="A197" s="48">
        <f>"APP-"&amp;TEXT(ROW()-1,"000")</f>
        <v/>
      </c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>
        <f>IF(I197="","",TODAY()-I197)</f>
        <v/>
      </c>
      <c r="AC197" s="48">
        <f>IF(M197="","",M197-TODAY())</f>
        <v/>
      </c>
      <c r="AD197" s="48">
        <f>IF(B197="","",COUNTIFS('Interview Tracker'!A:A,B197))</f>
        <v/>
      </c>
      <c r="AE197" s="48" t="n"/>
      <c r="AF197" s="48" t="n"/>
      <c r="AG197" s="48" t="n"/>
    </row>
    <row r="198" ht="22" customHeight="1">
      <c r="A198" s="46">
        <f>"APP-"&amp;TEXT(ROW()-1,"000")</f>
        <v/>
      </c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  <c r="AA198" s="46" t="n"/>
      <c r="AB198" s="46">
        <f>IF(I198="","",TODAY()-I198)</f>
        <v/>
      </c>
      <c r="AC198" s="46">
        <f>IF(M198="","",M198-TODAY())</f>
        <v/>
      </c>
      <c r="AD198" s="46">
        <f>IF(B198="","",COUNTIFS('Interview Tracker'!A:A,B198))</f>
        <v/>
      </c>
      <c r="AE198" s="46" t="n"/>
      <c r="AF198" s="46" t="n"/>
      <c r="AG198" s="46" t="n"/>
    </row>
    <row r="199" ht="22" customHeight="1">
      <c r="A199" s="48">
        <f>"APP-"&amp;TEXT(ROW()-1,"000")</f>
        <v/>
      </c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>
        <f>IF(I199="","",TODAY()-I199)</f>
        <v/>
      </c>
      <c r="AC199" s="48">
        <f>IF(M199="","",M199-TODAY())</f>
        <v/>
      </c>
      <c r="AD199" s="48">
        <f>IF(B199="","",COUNTIFS('Interview Tracker'!A:A,B199))</f>
        <v/>
      </c>
      <c r="AE199" s="48" t="n"/>
      <c r="AF199" s="48" t="n"/>
      <c r="AG199" s="48" t="n"/>
    </row>
    <row r="200" ht="22" customHeight="1">
      <c r="A200" s="46">
        <f>"APP-"&amp;TEXT(ROW()-1,"000")</f>
        <v/>
      </c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  <c r="AA200" s="46" t="n"/>
      <c r="AB200" s="46">
        <f>IF(I200="","",TODAY()-I200)</f>
        <v/>
      </c>
      <c r="AC200" s="46">
        <f>IF(M200="","",M200-TODAY())</f>
        <v/>
      </c>
      <c r="AD200" s="46">
        <f>IF(B200="","",COUNTIFS('Interview Tracker'!A:A,B200))</f>
        <v/>
      </c>
      <c r="AE200" s="46" t="n"/>
      <c r="AF200" s="46" t="n"/>
      <c r="AG200" s="46" t="n"/>
    </row>
    <row r="201" ht="22" customHeight="1">
      <c r="A201" s="48">
        <f>"APP-"&amp;TEXT(ROW()-1,"000")</f>
        <v/>
      </c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>
        <f>IF(I201="","",TODAY()-I201)</f>
        <v/>
      </c>
      <c r="AC201" s="48">
        <f>IF(M201="","",M201-TODAY())</f>
        <v/>
      </c>
      <c r="AD201" s="48">
        <f>IF(B201="","",COUNTIFS('Interview Tracker'!A:A,B201))</f>
        <v/>
      </c>
      <c r="AE201" s="48" t="n"/>
      <c r="AF201" s="48" t="n"/>
      <c r="AG201" s="48" t="n"/>
    </row>
    <row r="202" ht="22" customHeight="1">
      <c r="A202" s="46">
        <f>"APP-"&amp;TEXT(ROW()-1,"000")</f>
        <v/>
      </c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  <c r="AA202" s="46" t="n"/>
      <c r="AB202" s="46">
        <f>IF(I202="","",TODAY()-I202)</f>
        <v/>
      </c>
      <c r="AC202" s="46">
        <f>IF(M202="","",M202-TODAY())</f>
        <v/>
      </c>
      <c r="AD202" s="46">
        <f>IF(B202="","",COUNTIFS('Interview Tracker'!A:A,B202))</f>
        <v/>
      </c>
      <c r="AE202" s="46" t="n"/>
      <c r="AF202" s="46" t="n"/>
      <c r="AG202" s="46" t="n"/>
    </row>
    <row r="203" ht="22" customHeight="1">
      <c r="A203" s="48">
        <f>"APP-"&amp;TEXT(ROW()-1,"000")</f>
        <v/>
      </c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>
        <f>IF(I203="","",TODAY()-I203)</f>
        <v/>
      </c>
      <c r="AC203" s="48">
        <f>IF(M203="","",M203-TODAY())</f>
        <v/>
      </c>
      <c r="AD203" s="48">
        <f>IF(B203="","",COUNTIFS('Interview Tracker'!A:A,B203))</f>
        <v/>
      </c>
      <c r="AE203" s="48" t="n"/>
      <c r="AF203" s="48" t="n"/>
      <c r="AG203" s="48" t="n"/>
    </row>
    <row r="204" ht="22" customHeight="1">
      <c r="A204" s="46">
        <f>"APP-"&amp;TEXT(ROW()-1,"000")</f>
        <v/>
      </c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  <c r="AA204" s="46" t="n"/>
      <c r="AB204" s="46">
        <f>IF(I204="","",TODAY()-I204)</f>
        <v/>
      </c>
      <c r="AC204" s="46">
        <f>IF(M204="","",M204-TODAY())</f>
        <v/>
      </c>
      <c r="AD204" s="46">
        <f>IF(B204="","",COUNTIFS('Interview Tracker'!A:A,B204))</f>
        <v/>
      </c>
      <c r="AE204" s="46" t="n"/>
      <c r="AF204" s="46" t="n"/>
      <c r="AG204" s="46" t="n"/>
    </row>
    <row r="205" ht="22" customHeight="1">
      <c r="A205" s="48">
        <f>"APP-"&amp;TEXT(ROW()-1,"000")</f>
        <v/>
      </c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>
        <f>IF(I205="","",TODAY()-I205)</f>
        <v/>
      </c>
      <c r="AC205" s="48">
        <f>IF(M205="","",M205-TODAY())</f>
        <v/>
      </c>
      <c r="AD205" s="48">
        <f>IF(B205="","",COUNTIFS('Interview Tracker'!A:A,B205))</f>
        <v/>
      </c>
      <c r="AE205" s="48" t="n"/>
      <c r="AF205" s="48" t="n"/>
      <c r="AG205" s="48" t="n"/>
    </row>
    <row r="206" ht="22" customHeight="1">
      <c r="A206" s="46">
        <f>"APP-"&amp;TEXT(ROW()-1,"000")</f>
        <v/>
      </c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  <c r="AA206" s="46" t="n"/>
      <c r="AB206" s="46">
        <f>IF(I206="","",TODAY()-I206)</f>
        <v/>
      </c>
      <c r="AC206" s="46">
        <f>IF(M206="","",M206-TODAY())</f>
        <v/>
      </c>
      <c r="AD206" s="46">
        <f>IF(B206="","",COUNTIFS('Interview Tracker'!A:A,B206))</f>
        <v/>
      </c>
      <c r="AE206" s="46" t="n"/>
      <c r="AF206" s="46" t="n"/>
      <c r="AG206" s="46" t="n"/>
    </row>
    <row r="207" ht="22" customHeight="1">
      <c r="A207" s="48">
        <f>"APP-"&amp;TEXT(ROW()-1,"000")</f>
        <v/>
      </c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>
        <f>IF(I207="","",TODAY()-I207)</f>
        <v/>
      </c>
      <c r="AC207" s="48">
        <f>IF(M207="","",M207-TODAY())</f>
        <v/>
      </c>
      <c r="AD207" s="48">
        <f>IF(B207="","",COUNTIFS('Interview Tracker'!A:A,B207))</f>
        <v/>
      </c>
      <c r="AE207" s="48" t="n"/>
      <c r="AF207" s="48" t="n"/>
      <c r="AG207" s="48" t="n"/>
    </row>
    <row r="208" ht="22" customHeight="1">
      <c r="A208" s="46">
        <f>"APP-"&amp;TEXT(ROW()-1,"000")</f>
        <v/>
      </c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  <c r="AA208" s="46" t="n"/>
      <c r="AB208" s="46">
        <f>IF(I208="","",TODAY()-I208)</f>
        <v/>
      </c>
      <c r="AC208" s="46">
        <f>IF(M208="","",M208-TODAY())</f>
        <v/>
      </c>
      <c r="AD208" s="46">
        <f>IF(B208="","",COUNTIFS('Interview Tracker'!A:A,B208))</f>
        <v/>
      </c>
      <c r="AE208" s="46" t="n"/>
      <c r="AF208" s="46" t="n"/>
      <c r="AG208" s="46" t="n"/>
    </row>
    <row r="209" ht="22" customHeight="1">
      <c r="A209" s="48">
        <f>"APP-"&amp;TEXT(ROW()-1,"000")</f>
        <v/>
      </c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>
        <f>IF(I209="","",TODAY()-I209)</f>
        <v/>
      </c>
      <c r="AC209" s="48">
        <f>IF(M209="","",M209-TODAY())</f>
        <v/>
      </c>
      <c r="AD209" s="48">
        <f>IF(B209="","",COUNTIFS('Interview Tracker'!A:A,B209))</f>
        <v/>
      </c>
      <c r="AE209" s="48" t="n"/>
      <c r="AF209" s="48" t="n"/>
      <c r="AG209" s="48" t="n"/>
    </row>
    <row r="210" ht="22" customHeight="1">
      <c r="A210" s="46">
        <f>"APP-"&amp;TEXT(ROW()-1,"000")</f>
        <v/>
      </c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  <c r="AA210" s="46" t="n"/>
      <c r="AB210" s="46">
        <f>IF(I210="","",TODAY()-I210)</f>
        <v/>
      </c>
      <c r="AC210" s="46">
        <f>IF(M210="","",M210-TODAY())</f>
        <v/>
      </c>
      <c r="AD210" s="46">
        <f>IF(B210="","",COUNTIFS('Interview Tracker'!A:A,B210))</f>
        <v/>
      </c>
      <c r="AE210" s="46" t="n"/>
      <c r="AF210" s="46" t="n"/>
      <c r="AG210" s="46" t="n"/>
    </row>
    <row r="211" ht="22" customHeight="1">
      <c r="A211" s="48">
        <f>"APP-"&amp;TEXT(ROW()-1,"000")</f>
        <v/>
      </c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>
        <f>IF(I211="","",TODAY()-I211)</f>
        <v/>
      </c>
      <c r="AC211" s="48">
        <f>IF(M211="","",M211-TODAY())</f>
        <v/>
      </c>
      <c r="AD211" s="48">
        <f>IF(B211="","",COUNTIFS('Interview Tracker'!A:A,B211))</f>
        <v/>
      </c>
      <c r="AE211" s="48" t="n"/>
      <c r="AF211" s="48" t="n"/>
      <c r="AG211" s="48" t="n"/>
    </row>
    <row r="212" ht="22" customHeight="1">
      <c r="A212" s="46">
        <f>"APP-"&amp;TEXT(ROW()-1,"000")</f>
        <v/>
      </c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  <c r="AA212" s="46" t="n"/>
      <c r="AB212" s="46">
        <f>IF(I212="","",TODAY()-I212)</f>
        <v/>
      </c>
      <c r="AC212" s="46">
        <f>IF(M212="","",M212-TODAY())</f>
        <v/>
      </c>
      <c r="AD212" s="46">
        <f>IF(B212="","",COUNTIFS('Interview Tracker'!A:A,B212))</f>
        <v/>
      </c>
      <c r="AE212" s="46" t="n"/>
      <c r="AF212" s="46" t="n"/>
      <c r="AG212" s="46" t="n"/>
    </row>
    <row r="213" ht="22" customHeight="1">
      <c r="A213" s="48">
        <f>"APP-"&amp;TEXT(ROW()-1,"000")</f>
        <v/>
      </c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>
        <f>IF(I213="","",TODAY()-I213)</f>
        <v/>
      </c>
      <c r="AC213" s="48">
        <f>IF(M213="","",M213-TODAY())</f>
        <v/>
      </c>
      <c r="AD213" s="48">
        <f>IF(B213="","",COUNTIFS('Interview Tracker'!A:A,B213))</f>
        <v/>
      </c>
      <c r="AE213" s="48" t="n"/>
      <c r="AF213" s="48" t="n"/>
      <c r="AG213" s="48" t="n"/>
    </row>
    <row r="214" ht="22" customHeight="1">
      <c r="A214" s="46">
        <f>"APP-"&amp;TEXT(ROW()-1,"000")</f>
        <v/>
      </c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  <c r="AA214" s="46" t="n"/>
      <c r="AB214" s="46">
        <f>IF(I214="","",TODAY()-I214)</f>
        <v/>
      </c>
      <c r="AC214" s="46">
        <f>IF(M214="","",M214-TODAY())</f>
        <v/>
      </c>
      <c r="AD214" s="46">
        <f>IF(B214="","",COUNTIFS('Interview Tracker'!A:A,B214))</f>
        <v/>
      </c>
      <c r="AE214" s="46" t="n"/>
      <c r="AF214" s="46" t="n"/>
      <c r="AG214" s="46" t="n"/>
    </row>
    <row r="215" ht="22" customHeight="1">
      <c r="A215" s="48">
        <f>"APP-"&amp;TEXT(ROW()-1,"000")</f>
        <v/>
      </c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>
        <f>IF(I215="","",TODAY()-I215)</f>
        <v/>
      </c>
      <c r="AC215" s="48">
        <f>IF(M215="","",M215-TODAY())</f>
        <v/>
      </c>
      <c r="AD215" s="48">
        <f>IF(B215="","",COUNTIFS('Interview Tracker'!A:A,B215))</f>
        <v/>
      </c>
      <c r="AE215" s="48" t="n"/>
      <c r="AF215" s="48" t="n"/>
      <c r="AG215" s="48" t="n"/>
    </row>
    <row r="216" ht="22" customHeight="1">
      <c r="A216" s="46">
        <f>"APP-"&amp;TEXT(ROW()-1,"000")</f>
        <v/>
      </c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  <c r="AA216" s="46" t="n"/>
      <c r="AB216" s="46">
        <f>IF(I216="","",TODAY()-I216)</f>
        <v/>
      </c>
      <c r="AC216" s="46">
        <f>IF(M216="","",M216-TODAY())</f>
        <v/>
      </c>
      <c r="AD216" s="46">
        <f>IF(B216="","",COUNTIFS('Interview Tracker'!A:A,B216))</f>
        <v/>
      </c>
      <c r="AE216" s="46" t="n"/>
      <c r="AF216" s="46" t="n"/>
      <c r="AG216" s="46" t="n"/>
    </row>
    <row r="217" ht="22" customHeight="1">
      <c r="A217" s="48">
        <f>"APP-"&amp;TEXT(ROW()-1,"000")</f>
        <v/>
      </c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>
        <f>IF(I217="","",TODAY()-I217)</f>
        <v/>
      </c>
      <c r="AC217" s="48">
        <f>IF(M217="","",M217-TODAY())</f>
        <v/>
      </c>
      <c r="AD217" s="48">
        <f>IF(B217="","",COUNTIFS('Interview Tracker'!A:A,B217))</f>
        <v/>
      </c>
      <c r="AE217" s="48" t="n"/>
      <c r="AF217" s="48" t="n"/>
      <c r="AG217" s="48" t="n"/>
    </row>
    <row r="218" ht="22" customHeight="1">
      <c r="A218" s="46">
        <f>"APP-"&amp;TEXT(ROW()-1,"000")</f>
        <v/>
      </c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  <c r="AA218" s="46" t="n"/>
      <c r="AB218" s="46">
        <f>IF(I218="","",TODAY()-I218)</f>
        <v/>
      </c>
      <c r="AC218" s="46">
        <f>IF(M218="","",M218-TODAY())</f>
        <v/>
      </c>
      <c r="AD218" s="46">
        <f>IF(B218="","",COUNTIFS('Interview Tracker'!A:A,B218))</f>
        <v/>
      </c>
      <c r="AE218" s="46" t="n"/>
      <c r="AF218" s="46" t="n"/>
      <c r="AG218" s="46" t="n"/>
    </row>
    <row r="219" ht="22" customHeight="1">
      <c r="A219" s="48">
        <f>"APP-"&amp;TEXT(ROW()-1,"000")</f>
        <v/>
      </c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>
        <f>IF(I219="","",TODAY()-I219)</f>
        <v/>
      </c>
      <c r="AC219" s="48">
        <f>IF(M219="","",M219-TODAY())</f>
        <v/>
      </c>
      <c r="AD219" s="48">
        <f>IF(B219="","",COUNTIFS('Interview Tracker'!A:A,B219))</f>
        <v/>
      </c>
      <c r="AE219" s="48" t="n"/>
      <c r="AF219" s="48" t="n"/>
      <c r="AG219" s="48" t="n"/>
    </row>
    <row r="220" ht="22" customHeight="1">
      <c r="A220" s="46">
        <f>"APP-"&amp;TEXT(ROW()-1,"000")</f>
        <v/>
      </c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  <c r="AA220" s="46" t="n"/>
      <c r="AB220" s="46">
        <f>IF(I220="","",TODAY()-I220)</f>
        <v/>
      </c>
      <c r="AC220" s="46">
        <f>IF(M220="","",M220-TODAY())</f>
        <v/>
      </c>
      <c r="AD220" s="46">
        <f>IF(B220="","",COUNTIFS('Interview Tracker'!A:A,B220))</f>
        <v/>
      </c>
      <c r="AE220" s="46" t="n"/>
      <c r="AF220" s="46" t="n"/>
      <c r="AG220" s="46" t="n"/>
    </row>
    <row r="221" ht="22" customHeight="1">
      <c r="A221" s="48">
        <f>"APP-"&amp;TEXT(ROW()-1,"000")</f>
        <v/>
      </c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>
        <f>IF(I221="","",TODAY()-I221)</f>
        <v/>
      </c>
      <c r="AC221" s="48">
        <f>IF(M221="","",M221-TODAY())</f>
        <v/>
      </c>
      <c r="AD221" s="48">
        <f>IF(B221="","",COUNTIFS('Interview Tracker'!A:A,B221))</f>
        <v/>
      </c>
      <c r="AE221" s="48" t="n"/>
      <c r="AF221" s="48" t="n"/>
      <c r="AG221" s="48" t="n"/>
    </row>
    <row r="222" ht="22" customHeight="1">
      <c r="A222" s="46">
        <f>"APP-"&amp;TEXT(ROW()-1,"000")</f>
        <v/>
      </c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  <c r="AA222" s="46" t="n"/>
      <c r="AB222" s="46">
        <f>IF(I222="","",TODAY()-I222)</f>
        <v/>
      </c>
      <c r="AC222" s="46">
        <f>IF(M222="","",M222-TODAY())</f>
        <v/>
      </c>
      <c r="AD222" s="46">
        <f>IF(B222="","",COUNTIFS('Interview Tracker'!A:A,B222))</f>
        <v/>
      </c>
      <c r="AE222" s="46" t="n"/>
      <c r="AF222" s="46" t="n"/>
      <c r="AG222" s="46" t="n"/>
    </row>
    <row r="223" ht="22" customHeight="1">
      <c r="A223" s="48">
        <f>"APP-"&amp;TEXT(ROW()-1,"000")</f>
        <v/>
      </c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>
        <f>IF(I223="","",TODAY()-I223)</f>
        <v/>
      </c>
      <c r="AC223" s="48">
        <f>IF(M223="","",M223-TODAY())</f>
        <v/>
      </c>
      <c r="AD223" s="48">
        <f>IF(B223="","",COUNTIFS('Interview Tracker'!A:A,B223))</f>
        <v/>
      </c>
      <c r="AE223" s="48" t="n"/>
      <c r="AF223" s="48" t="n"/>
      <c r="AG223" s="48" t="n"/>
    </row>
    <row r="224" ht="22" customHeight="1">
      <c r="A224" s="46">
        <f>"APP-"&amp;TEXT(ROW()-1,"000")</f>
        <v/>
      </c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  <c r="AA224" s="46" t="n"/>
      <c r="AB224" s="46">
        <f>IF(I224="","",TODAY()-I224)</f>
        <v/>
      </c>
      <c r="AC224" s="46">
        <f>IF(M224="","",M224-TODAY())</f>
        <v/>
      </c>
      <c r="AD224" s="46">
        <f>IF(B224="","",COUNTIFS('Interview Tracker'!A:A,B224))</f>
        <v/>
      </c>
      <c r="AE224" s="46" t="n"/>
      <c r="AF224" s="46" t="n"/>
      <c r="AG224" s="46" t="n"/>
    </row>
    <row r="225" ht="22" customHeight="1">
      <c r="A225" s="48">
        <f>"APP-"&amp;TEXT(ROW()-1,"000")</f>
        <v/>
      </c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>
        <f>IF(I225="","",TODAY()-I225)</f>
        <v/>
      </c>
      <c r="AC225" s="48">
        <f>IF(M225="","",M225-TODAY())</f>
        <v/>
      </c>
      <c r="AD225" s="48">
        <f>IF(B225="","",COUNTIFS('Interview Tracker'!A:A,B225))</f>
        <v/>
      </c>
      <c r="AE225" s="48" t="n"/>
      <c r="AF225" s="48" t="n"/>
      <c r="AG225" s="48" t="n"/>
    </row>
    <row r="226" ht="22" customHeight="1">
      <c r="A226" s="46">
        <f>"APP-"&amp;TEXT(ROW()-1,"000")</f>
        <v/>
      </c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  <c r="AA226" s="46" t="n"/>
      <c r="AB226" s="46">
        <f>IF(I226="","",TODAY()-I226)</f>
        <v/>
      </c>
      <c r="AC226" s="46">
        <f>IF(M226="","",M226-TODAY())</f>
        <v/>
      </c>
      <c r="AD226" s="46">
        <f>IF(B226="","",COUNTIFS('Interview Tracker'!A:A,B226))</f>
        <v/>
      </c>
      <c r="AE226" s="46" t="n"/>
      <c r="AF226" s="46" t="n"/>
      <c r="AG226" s="46" t="n"/>
    </row>
    <row r="227" ht="22" customHeight="1">
      <c r="A227" s="48">
        <f>"APP-"&amp;TEXT(ROW()-1,"000")</f>
        <v/>
      </c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>
        <f>IF(I227="","",TODAY()-I227)</f>
        <v/>
      </c>
      <c r="AC227" s="48">
        <f>IF(M227="","",M227-TODAY())</f>
        <v/>
      </c>
      <c r="AD227" s="48">
        <f>IF(B227="","",COUNTIFS('Interview Tracker'!A:A,B227))</f>
        <v/>
      </c>
      <c r="AE227" s="48" t="n"/>
      <c r="AF227" s="48" t="n"/>
      <c r="AG227" s="48" t="n"/>
    </row>
    <row r="228" ht="22" customHeight="1">
      <c r="A228" s="46">
        <f>"APP-"&amp;TEXT(ROW()-1,"000")</f>
        <v/>
      </c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  <c r="AA228" s="46" t="n"/>
      <c r="AB228" s="46">
        <f>IF(I228="","",TODAY()-I228)</f>
        <v/>
      </c>
      <c r="AC228" s="46">
        <f>IF(M228="","",M228-TODAY())</f>
        <v/>
      </c>
      <c r="AD228" s="46">
        <f>IF(B228="","",COUNTIFS('Interview Tracker'!A:A,B228))</f>
        <v/>
      </c>
      <c r="AE228" s="46" t="n"/>
      <c r="AF228" s="46" t="n"/>
      <c r="AG228" s="46" t="n"/>
    </row>
    <row r="229" ht="22" customHeight="1">
      <c r="A229" s="48">
        <f>"APP-"&amp;TEXT(ROW()-1,"000")</f>
        <v/>
      </c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>
        <f>IF(I229="","",TODAY()-I229)</f>
        <v/>
      </c>
      <c r="AC229" s="48">
        <f>IF(M229="","",M229-TODAY())</f>
        <v/>
      </c>
      <c r="AD229" s="48">
        <f>IF(B229="","",COUNTIFS('Interview Tracker'!A:A,B229))</f>
        <v/>
      </c>
      <c r="AE229" s="48" t="n"/>
      <c r="AF229" s="48" t="n"/>
      <c r="AG229" s="48" t="n"/>
    </row>
    <row r="230" ht="22" customHeight="1">
      <c r="A230" s="46">
        <f>"APP-"&amp;TEXT(ROW()-1,"000")</f>
        <v/>
      </c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  <c r="AA230" s="46" t="n"/>
      <c r="AB230" s="46">
        <f>IF(I230="","",TODAY()-I230)</f>
        <v/>
      </c>
      <c r="AC230" s="46">
        <f>IF(M230="","",M230-TODAY())</f>
        <v/>
      </c>
      <c r="AD230" s="46">
        <f>IF(B230="","",COUNTIFS('Interview Tracker'!A:A,B230))</f>
        <v/>
      </c>
      <c r="AE230" s="46" t="n"/>
      <c r="AF230" s="46" t="n"/>
      <c r="AG230" s="46" t="n"/>
    </row>
    <row r="231" ht="22" customHeight="1">
      <c r="A231" s="48">
        <f>"APP-"&amp;TEXT(ROW()-1,"000")</f>
        <v/>
      </c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>
        <f>IF(I231="","",TODAY()-I231)</f>
        <v/>
      </c>
      <c r="AC231" s="48">
        <f>IF(M231="","",M231-TODAY())</f>
        <v/>
      </c>
      <c r="AD231" s="48">
        <f>IF(B231="","",COUNTIFS('Interview Tracker'!A:A,B231))</f>
        <v/>
      </c>
      <c r="AE231" s="48" t="n"/>
      <c r="AF231" s="48" t="n"/>
      <c r="AG231" s="48" t="n"/>
    </row>
    <row r="232" ht="22" customHeight="1">
      <c r="A232" s="46">
        <f>"APP-"&amp;TEXT(ROW()-1,"000")</f>
        <v/>
      </c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  <c r="AA232" s="46" t="n"/>
      <c r="AB232" s="46">
        <f>IF(I232="","",TODAY()-I232)</f>
        <v/>
      </c>
      <c r="AC232" s="46">
        <f>IF(M232="","",M232-TODAY())</f>
        <v/>
      </c>
      <c r="AD232" s="46">
        <f>IF(B232="","",COUNTIFS('Interview Tracker'!A:A,B232))</f>
        <v/>
      </c>
      <c r="AE232" s="46" t="n"/>
      <c r="AF232" s="46" t="n"/>
      <c r="AG232" s="46" t="n"/>
    </row>
    <row r="233" ht="22" customHeight="1">
      <c r="A233" s="48">
        <f>"APP-"&amp;TEXT(ROW()-1,"000")</f>
        <v/>
      </c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>
        <f>IF(I233="","",TODAY()-I233)</f>
        <v/>
      </c>
      <c r="AC233" s="48">
        <f>IF(M233="","",M233-TODAY())</f>
        <v/>
      </c>
      <c r="AD233" s="48">
        <f>IF(B233="","",COUNTIFS('Interview Tracker'!A:A,B233))</f>
        <v/>
      </c>
      <c r="AE233" s="48" t="n"/>
      <c r="AF233" s="48" t="n"/>
      <c r="AG233" s="48" t="n"/>
    </row>
    <row r="234" ht="22" customHeight="1">
      <c r="A234" s="46">
        <f>"APP-"&amp;TEXT(ROW()-1,"000")</f>
        <v/>
      </c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  <c r="AA234" s="46" t="n"/>
      <c r="AB234" s="46">
        <f>IF(I234="","",TODAY()-I234)</f>
        <v/>
      </c>
      <c r="AC234" s="46">
        <f>IF(M234="","",M234-TODAY())</f>
        <v/>
      </c>
      <c r="AD234" s="46">
        <f>IF(B234="","",COUNTIFS('Interview Tracker'!A:A,B234))</f>
        <v/>
      </c>
      <c r="AE234" s="46" t="n"/>
      <c r="AF234" s="46" t="n"/>
      <c r="AG234" s="46" t="n"/>
    </row>
    <row r="235" ht="22" customHeight="1">
      <c r="A235" s="48">
        <f>"APP-"&amp;TEXT(ROW()-1,"000")</f>
        <v/>
      </c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>
        <f>IF(I235="","",TODAY()-I235)</f>
        <v/>
      </c>
      <c r="AC235" s="48">
        <f>IF(M235="","",M235-TODAY())</f>
        <v/>
      </c>
      <c r="AD235" s="48">
        <f>IF(B235="","",COUNTIFS('Interview Tracker'!A:A,B235))</f>
        <v/>
      </c>
      <c r="AE235" s="48" t="n"/>
      <c r="AF235" s="48" t="n"/>
      <c r="AG235" s="48" t="n"/>
    </row>
    <row r="236" ht="22" customHeight="1">
      <c r="A236" s="46">
        <f>"APP-"&amp;TEXT(ROW()-1,"000")</f>
        <v/>
      </c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  <c r="AA236" s="46" t="n"/>
      <c r="AB236" s="46">
        <f>IF(I236="","",TODAY()-I236)</f>
        <v/>
      </c>
      <c r="AC236" s="46">
        <f>IF(M236="","",M236-TODAY())</f>
        <v/>
      </c>
      <c r="AD236" s="46">
        <f>IF(B236="","",COUNTIFS('Interview Tracker'!A:A,B236))</f>
        <v/>
      </c>
      <c r="AE236" s="46" t="n"/>
      <c r="AF236" s="46" t="n"/>
      <c r="AG236" s="46" t="n"/>
    </row>
    <row r="237" ht="22" customHeight="1">
      <c r="A237" s="48">
        <f>"APP-"&amp;TEXT(ROW()-1,"000")</f>
        <v/>
      </c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>
        <f>IF(I237="","",TODAY()-I237)</f>
        <v/>
      </c>
      <c r="AC237" s="48">
        <f>IF(M237="","",M237-TODAY())</f>
        <v/>
      </c>
      <c r="AD237" s="48">
        <f>IF(B237="","",COUNTIFS('Interview Tracker'!A:A,B237))</f>
        <v/>
      </c>
      <c r="AE237" s="48" t="n"/>
      <c r="AF237" s="48" t="n"/>
      <c r="AG237" s="48" t="n"/>
    </row>
    <row r="238" ht="22" customHeight="1">
      <c r="A238" s="46">
        <f>"APP-"&amp;TEXT(ROW()-1,"000")</f>
        <v/>
      </c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  <c r="AA238" s="46" t="n"/>
      <c r="AB238" s="46">
        <f>IF(I238="","",TODAY()-I238)</f>
        <v/>
      </c>
      <c r="AC238" s="46">
        <f>IF(M238="","",M238-TODAY())</f>
        <v/>
      </c>
      <c r="AD238" s="46">
        <f>IF(B238="","",COUNTIFS('Interview Tracker'!A:A,B238))</f>
        <v/>
      </c>
      <c r="AE238" s="46" t="n"/>
      <c r="AF238" s="46" t="n"/>
      <c r="AG238" s="46" t="n"/>
    </row>
    <row r="239" ht="22" customHeight="1">
      <c r="A239" s="48">
        <f>"APP-"&amp;TEXT(ROW()-1,"000")</f>
        <v/>
      </c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>
        <f>IF(I239="","",TODAY()-I239)</f>
        <v/>
      </c>
      <c r="AC239" s="48">
        <f>IF(M239="","",M239-TODAY())</f>
        <v/>
      </c>
      <c r="AD239" s="48">
        <f>IF(B239="","",COUNTIFS('Interview Tracker'!A:A,B239))</f>
        <v/>
      </c>
      <c r="AE239" s="48" t="n"/>
      <c r="AF239" s="48" t="n"/>
      <c r="AG239" s="48" t="n"/>
    </row>
    <row r="240" ht="22" customHeight="1">
      <c r="A240" s="46">
        <f>"APP-"&amp;TEXT(ROW()-1,"000")</f>
        <v/>
      </c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  <c r="AA240" s="46" t="n"/>
      <c r="AB240" s="46">
        <f>IF(I240="","",TODAY()-I240)</f>
        <v/>
      </c>
      <c r="AC240" s="46">
        <f>IF(M240="","",M240-TODAY())</f>
        <v/>
      </c>
      <c r="AD240" s="46">
        <f>IF(B240="","",COUNTIFS('Interview Tracker'!A:A,B240))</f>
        <v/>
      </c>
      <c r="AE240" s="46" t="n"/>
      <c r="AF240" s="46" t="n"/>
      <c r="AG240" s="46" t="n"/>
    </row>
    <row r="241" ht="22" customHeight="1">
      <c r="A241" s="48">
        <f>"APP-"&amp;TEXT(ROW()-1,"000")</f>
        <v/>
      </c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>
        <f>IF(I241="","",TODAY()-I241)</f>
        <v/>
      </c>
      <c r="AC241" s="48">
        <f>IF(M241="","",M241-TODAY())</f>
        <v/>
      </c>
      <c r="AD241" s="48">
        <f>IF(B241="","",COUNTIFS('Interview Tracker'!A:A,B241))</f>
        <v/>
      </c>
      <c r="AE241" s="48" t="n"/>
      <c r="AF241" s="48" t="n"/>
      <c r="AG241" s="48" t="n"/>
    </row>
    <row r="242" ht="22" customHeight="1">
      <c r="A242" s="46">
        <f>"APP-"&amp;TEXT(ROW()-1,"000")</f>
        <v/>
      </c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  <c r="AA242" s="46" t="n"/>
      <c r="AB242" s="46">
        <f>IF(I242="","",TODAY()-I242)</f>
        <v/>
      </c>
      <c r="AC242" s="46">
        <f>IF(M242="","",M242-TODAY())</f>
        <v/>
      </c>
      <c r="AD242" s="46">
        <f>IF(B242="","",COUNTIFS('Interview Tracker'!A:A,B242))</f>
        <v/>
      </c>
      <c r="AE242" s="46" t="n"/>
      <c r="AF242" s="46" t="n"/>
      <c r="AG242" s="46" t="n"/>
    </row>
    <row r="243" ht="22" customHeight="1">
      <c r="A243" s="48">
        <f>"APP-"&amp;TEXT(ROW()-1,"000")</f>
        <v/>
      </c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>
        <f>IF(I243="","",TODAY()-I243)</f>
        <v/>
      </c>
      <c r="AC243" s="48">
        <f>IF(M243="","",M243-TODAY())</f>
        <v/>
      </c>
      <c r="AD243" s="48">
        <f>IF(B243="","",COUNTIFS('Interview Tracker'!A:A,B243))</f>
        <v/>
      </c>
      <c r="AE243" s="48" t="n"/>
      <c r="AF243" s="48" t="n"/>
      <c r="AG243" s="48" t="n"/>
    </row>
    <row r="244" ht="22" customHeight="1">
      <c r="A244" s="46">
        <f>"APP-"&amp;TEXT(ROW()-1,"000")</f>
        <v/>
      </c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  <c r="AA244" s="46" t="n"/>
      <c r="AB244" s="46">
        <f>IF(I244="","",TODAY()-I244)</f>
        <v/>
      </c>
      <c r="AC244" s="46">
        <f>IF(M244="","",M244-TODAY())</f>
        <v/>
      </c>
      <c r="AD244" s="46">
        <f>IF(B244="","",COUNTIFS('Interview Tracker'!A:A,B244))</f>
        <v/>
      </c>
      <c r="AE244" s="46" t="n"/>
      <c r="AF244" s="46" t="n"/>
      <c r="AG244" s="46" t="n"/>
    </row>
    <row r="245" ht="22" customHeight="1">
      <c r="A245" s="48">
        <f>"APP-"&amp;TEXT(ROW()-1,"000")</f>
        <v/>
      </c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>
        <f>IF(I245="","",TODAY()-I245)</f>
        <v/>
      </c>
      <c r="AC245" s="48">
        <f>IF(M245="","",M245-TODAY())</f>
        <v/>
      </c>
      <c r="AD245" s="48">
        <f>IF(B245="","",COUNTIFS('Interview Tracker'!A:A,B245))</f>
        <v/>
      </c>
      <c r="AE245" s="48" t="n"/>
      <c r="AF245" s="48" t="n"/>
      <c r="AG245" s="48" t="n"/>
    </row>
    <row r="246" ht="22" customHeight="1">
      <c r="A246" s="46">
        <f>"APP-"&amp;TEXT(ROW()-1,"000")</f>
        <v/>
      </c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  <c r="AA246" s="46" t="n"/>
      <c r="AB246" s="46">
        <f>IF(I246="","",TODAY()-I246)</f>
        <v/>
      </c>
      <c r="AC246" s="46">
        <f>IF(M246="","",M246-TODAY())</f>
        <v/>
      </c>
      <c r="AD246" s="46">
        <f>IF(B246="","",COUNTIFS('Interview Tracker'!A:A,B246))</f>
        <v/>
      </c>
      <c r="AE246" s="46" t="n"/>
      <c r="AF246" s="46" t="n"/>
      <c r="AG246" s="46" t="n"/>
    </row>
    <row r="247" ht="22" customHeight="1">
      <c r="A247" s="48">
        <f>"APP-"&amp;TEXT(ROW()-1,"000")</f>
        <v/>
      </c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>
        <f>IF(I247="","",TODAY()-I247)</f>
        <v/>
      </c>
      <c r="AC247" s="48">
        <f>IF(M247="","",M247-TODAY())</f>
        <v/>
      </c>
      <c r="AD247" s="48">
        <f>IF(B247="","",COUNTIFS('Interview Tracker'!A:A,B247))</f>
        <v/>
      </c>
      <c r="AE247" s="48" t="n"/>
      <c r="AF247" s="48" t="n"/>
      <c r="AG247" s="48" t="n"/>
    </row>
    <row r="248" ht="22" customHeight="1">
      <c r="A248" s="46">
        <f>"APP-"&amp;TEXT(ROW()-1,"000")</f>
        <v/>
      </c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  <c r="AA248" s="46" t="n"/>
      <c r="AB248" s="46">
        <f>IF(I248="","",TODAY()-I248)</f>
        <v/>
      </c>
      <c r="AC248" s="46">
        <f>IF(M248="","",M248-TODAY())</f>
        <v/>
      </c>
      <c r="AD248" s="46">
        <f>IF(B248="","",COUNTIFS('Interview Tracker'!A:A,B248))</f>
        <v/>
      </c>
      <c r="AE248" s="46" t="n"/>
      <c r="AF248" s="46" t="n"/>
      <c r="AG248" s="46" t="n"/>
    </row>
    <row r="249" ht="22" customHeight="1">
      <c r="A249" s="48">
        <f>"APP-"&amp;TEXT(ROW()-1,"000")</f>
        <v/>
      </c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>
        <f>IF(I249="","",TODAY()-I249)</f>
        <v/>
      </c>
      <c r="AC249" s="48">
        <f>IF(M249="","",M249-TODAY())</f>
        <v/>
      </c>
      <c r="AD249" s="48">
        <f>IF(B249="","",COUNTIFS('Interview Tracker'!A:A,B249))</f>
        <v/>
      </c>
      <c r="AE249" s="48" t="n"/>
      <c r="AF249" s="48" t="n"/>
      <c r="AG249" s="48" t="n"/>
    </row>
    <row r="250" ht="22" customHeight="1">
      <c r="A250" s="46">
        <f>"APP-"&amp;TEXT(ROW()-1,"000")</f>
        <v/>
      </c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  <c r="AA250" s="46" t="n"/>
      <c r="AB250" s="46">
        <f>IF(I250="","",TODAY()-I250)</f>
        <v/>
      </c>
      <c r="AC250" s="46">
        <f>IF(M250="","",M250-TODAY())</f>
        <v/>
      </c>
      <c r="AD250" s="46">
        <f>IF(B250="","",COUNTIFS('Interview Tracker'!A:A,B250))</f>
        <v/>
      </c>
      <c r="AE250" s="46" t="n"/>
      <c r="AF250" s="46" t="n"/>
      <c r="AG250" s="46" t="n"/>
    </row>
    <row r="251" ht="22" customHeight="1">
      <c r="A251" s="48">
        <f>"APP-"&amp;TEXT(ROW()-1,"000")</f>
        <v/>
      </c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>
        <f>IF(I251="","",TODAY()-I251)</f>
        <v/>
      </c>
      <c r="AC251" s="48">
        <f>IF(M251="","",M251-TODAY())</f>
        <v/>
      </c>
      <c r="AD251" s="48">
        <f>IF(B251="","",COUNTIFS('Interview Tracker'!A:A,B251))</f>
        <v/>
      </c>
      <c r="AE251" s="48" t="n"/>
      <c r="AF251" s="48" t="n"/>
      <c r="AG251" s="48" t="n"/>
    </row>
    <row r="252" ht="22" customHeight="1">
      <c r="A252" s="46">
        <f>"APP-"&amp;TEXT(ROW()-1,"000")</f>
        <v/>
      </c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  <c r="AA252" s="46" t="n"/>
      <c r="AB252" s="46">
        <f>IF(I252="","",TODAY()-I252)</f>
        <v/>
      </c>
      <c r="AC252" s="46">
        <f>IF(M252="","",M252-TODAY())</f>
        <v/>
      </c>
      <c r="AD252" s="46">
        <f>IF(B252="","",COUNTIFS('Interview Tracker'!A:A,B252))</f>
        <v/>
      </c>
      <c r="AE252" s="46" t="n"/>
      <c r="AF252" s="46" t="n"/>
      <c r="AG252" s="46" t="n"/>
    </row>
    <row r="253" ht="22" customHeight="1">
      <c r="A253" s="48">
        <f>"APP-"&amp;TEXT(ROW()-1,"000")</f>
        <v/>
      </c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>
        <f>IF(I253="","",TODAY()-I253)</f>
        <v/>
      </c>
      <c r="AC253" s="48">
        <f>IF(M253="","",M253-TODAY())</f>
        <v/>
      </c>
      <c r="AD253" s="48">
        <f>IF(B253="","",COUNTIFS('Interview Tracker'!A:A,B253))</f>
        <v/>
      </c>
      <c r="AE253" s="48" t="n"/>
      <c r="AF253" s="48" t="n"/>
      <c r="AG253" s="48" t="n"/>
    </row>
    <row r="254" ht="22" customHeight="1">
      <c r="A254" s="46">
        <f>"APP-"&amp;TEXT(ROW()-1,"000")</f>
        <v/>
      </c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  <c r="AA254" s="46" t="n"/>
      <c r="AB254" s="46">
        <f>IF(I254="","",TODAY()-I254)</f>
        <v/>
      </c>
      <c r="AC254" s="46">
        <f>IF(M254="","",M254-TODAY())</f>
        <v/>
      </c>
      <c r="AD254" s="46">
        <f>IF(B254="","",COUNTIFS('Interview Tracker'!A:A,B254))</f>
        <v/>
      </c>
      <c r="AE254" s="46" t="n"/>
      <c r="AF254" s="46" t="n"/>
      <c r="AG254" s="46" t="n"/>
    </row>
    <row r="255" ht="22" customHeight="1">
      <c r="A255" s="48">
        <f>"APP-"&amp;TEXT(ROW()-1,"000")</f>
        <v/>
      </c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>
        <f>IF(I255="","",TODAY()-I255)</f>
        <v/>
      </c>
      <c r="AC255" s="48">
        <f>IF(M255="","",M255-TODAY())</f>
        <v/>
      </c>
      <c r="AD255" s="48">
        <f>IF(B255="","",COUNTIFS('Interview Tracker'!A:A,B255))</f>
        <v/>
      </c>
      <c r="AE255" s="48" t="n"/>
      <c r="AF255" s="48" t="n"/>
      <c r="AG255" s="48" t="n"/>
    </row>
    <row r="256" ht="22" customHeight="1">
      <c r="A256" s="46">
        <f>"APP-"&amp;TEXT(ROW()-1,"000")</f>
        <v/>
      </c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  <c r="AA256" s="46" t="n"/>
      <c r="AB256" s="46">
        <f>IF(I256="","",TODAY()-I256)</f>
        <v/>
      </c>
      <c r="AC256" s="46">
        <f>IF(M256="","",M256-TODAY())</f>
        <v/>
      </c>
      <c r="AD256" s="46">
        <f>IF(B256="","",COUNTIFS('Interview Tracker'!A:A,B256))</f>
        <v/>
      </c>
      <c r="AE256" s="46" t="n"/>
      <c r="AF256" s="46" t="n"/>
      <c r="AG256" s="46" t="n"/>
    </row>
    <row r="257" ht="22" customHeight="1">
      <c r="A257" s="48">
        <f>"APP-"&amp;TEXT(ROW()-1,"000")</f>
        <v/>
      </c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>
        <f>IF(I257="","",TODAY()-I257)</f>
        <v/>
      </c>
      <c r="AC257" s="48">
        <f>IF(M257="","",M257-TODAY())</f>
        <v/>
      </c>
      <c r="AD257" s="48">
        <f>IF(B257="","",COUNTIFS('Interview Tracker'!A:A,B257))</f>
        <v/>
      </c>
      <c r="AE257" s="48" t="n"/>
      <c r="AF257" s="48" t="n"/>
      <c r="AG257" s="48" t="n"/>
    </row>
    <row r="258" ht="22" customHeight="1">
      <c r="A258" s="46">
        <f>"APP-"&amp;TEXT(ROW()-1,"000")</f>
        <v/>
      </c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  <c r="AA258" s="46" t="n"/>
      <c r="AB258" s="46">
        <f>IF(I258="","",TODAY()-I258)</f>
        <v/>
      </c>
      <c r="AC258" s="46">
        <f>IF(M258="","",M258-TODAY())</f>
        <v/>
      </c>
      <c r="AD258" s="46">
        <f>IF(B258="","",COUNTIFS('Interview Tracker'!A:A,B258))</f>
        <v/>
      </c>
      <c r="AE258" s="46" t="n"/>
      <c r="AF258" s="46" t="n"/>
      <c r="AG258" s="46" t="n"/>
    </row>
    <row r="259" ht="22" customHeight="1">
      <c r="A259" s="48">
        <f>"APP-"&amp;TEXT(ROW()-1,"000")</f>
        <v/>
      </c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>
        <f>IF(I259="","",TODAY()-I259)</f>
        <v/>
      </c>
      <c r="AC259" s="48">
        <f>IF(M259="","",M259-TODAY())</f>
        <v/>
      </c>
      <c r="AD259" s="48">
        <f>IF(B259="","",COUNTIFS('Interview Tracker'!A:A,B259))</f>
        <v/>
      </c>
      <c r="AE259" s="48" t="n"/>
      <c r="AF259" s="48" t="n"/>
      <c r="AG259" s="48" t="n"/>
    </row>
    <row r="260" ht="22" customHeight="1">
      <c r="A260" s="46">
        <f>"APP-"&amp;TEXT(ROW()-1,"000")</f>
        <v/>
      </c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  <c r="AA260" s="46" t="n"/>
      <c r="AB260" s="46">
        <f>IF(I260="","",TODAY()-I260)</f>
        <v/>
      </c>
      <c r="AC260" s="46">
        <f>IF(M260="","",M260-TODAY())</f>
        <v/>
      </c>
      <c r="AD260" s="46">
        <f>IF(B260="","",COUNTIFS('Interview Tracker'!A:A,B260))</f>
        <v/>
      </c>
      <c r="AE260" s="46" t="n"/>
      <c r="AF260" s="46" t="n"/>
      <c r="AG260" s="46" t="n"/>
    </row>
    <row r="261" ht="22" customHeight="1">
      <c r="A261" s="48">
        <f>"APP-"&amp;TEXT(ROW()-1,"000")</f>
        <v/>
      </c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>
        <f>IF(I261="","",TODAY()-I261)</f>
        <v/>
      </c>
      <c r="AC261" s="48">
        <f>IF(M261="","",M261-TODAY())</f>
        <v/>
      </c>
      <c r="AD261" s="48">
        <f>IF(B261="","",COUNTIFS('Interview Tracker'!A:A,B261))</f>
        <v/>
      </c>
      <c r="AE261" s="48" t="n"/>
      <c r="AF261" s="48" t="n"/>
      <c r="AG261" s="48" t="n"/>
    </row>
    <row r="262" ht="22" customHeight="1">
      <c r="A262" s="46">
        <f>"APP-"&amp;TEXT(ROW()-1,"000")</f>
        <v/>
      </c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  <c r="AA262" s="46" t="n"/>
      <c r="AB262" s="46">
        <f>IF(I262="","",TODAY()-I262)</f>
        <v/>
      </c>
      <c r="AC262" s="46">
        <f>IF(M262="","",M262-TODAY())</f>
        <v/>
      </c>
      <c r="AD262" s="46">
        <f>IF(B262="","",COUNTIFS('Interview Tracker'!A:A,B262))</f>
        <v/>
      </c>
      <c r="AE262" s="46" t="n"/>
      <c r="AF262" s="46" t="n"/>
      <c r="AG262" s="46" t="n"/>
    </row>
    <row r="263" ht="22" customHeight="1">
      <c r="A263" s="48">
        <f>"APP-"&amp;TEXT(ROW()-1,"000")</f>
        <v/>
      </c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>
        <f>IF(I263="","",TODAY()-I263)</f>
        <v/>
      </c>
      <c r="AC263" s="48">
        <f>IF(M263="","",M263-TODAY())</f>
        <v/>
      </c>
      <c r="AD263" s="48">
        <f>IF(B263="","",COUNTIFS('Interview Tracker'!A:A,B263))</f>
        <v/>
      </c>
      <c r="AE263" s="48" t="n"/>
      <c r="AF263" s="48" t="n"/>
      <c r="AG263" s="48" t="n"/>
    </row>
    <row r="264" ht="22" customHeight="1">
      <c r="A264" s="46">
        <f>"APP-"&amp;TEXT(ROW()-1,"000")</f>
        <v/>
      </c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  <c r="AA264" s="46" t="n"/>
      <c r="AB264" s="46">
        <f>IF(I264="","",TODAY()-I264)</f>
        <v/>
      </c>
      <c r="AC264" s="46">
        <f>IF(M264="","",M264-TODAY())</f>
        <v/>
      </c>
      <c r="AD264" s="46">
        <f>IF(B264="","",COUNTIFS('Interview Tracker'!A:A,B264))</f>
        <v/>
      </c>
      <c r="AE264" s="46" t="n"/>
      <c r="AF264" s="46" t="n"/>
      <c r="AG264" s="46" t="n"/>
    </row>
    <row r="265" ht="22" customHeight="1">
      <c r="A265" s="48">
        <f>"APP-"&amp;TEXT(ROW()-1,"000")</f>
        <v/>
      </c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>
        <f>IF(I265="","",TODAY()-I265)</f>
        <v/>
      </c>
      <c r="AC265" s="48">
        <f>IF(M265="","",M265-TODAY())</f>
        <v/>
      </c>
      <c r="AD265" s="48">
        <f>IF(B265="","",COUNTIFS('Interview Tracker'!A:A,B265))</f>
        <v/>
      </c>
      <c r="AE265" s="48" t="n"/>
      <c r="AF265" s="48" t="n"/>
      <c r="AG265" s="48" t="n"/>
    </row>
    <row r="266" ht="22" customHeight="1">
      <c r="A266" s="46">
        <f>"APP-"&amp;TEXT(ROW()-1,"000")</f>
        <v/>
      </c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  <c r="AA266" s="46" t="n"/>
      <c r="AB266" s="46">
        <f>IF(I266="","",TODAY()-I266)</f>
        <v/>
      </c>
      <c r="AC266" s="46">
        <f>IF(M266="","",M266-TODAY())</f>
        <v/>
      </c>
      <c r="AD266" s="46">
        <f>IF(B266="","",COUNTIFS('Interview Tracker'!A:A,B266))</f>
        <v/>
      </c>
      <c r="AE266" s="46" t="n"/>
      <c r="AF266" s="46" t="n"/>
      <c r="AG266" s="46" t="n"/>
    </row>
    <row r="267" ht="22" customHeight="1">
      <c r="A267" s="48">
        <f>"APP-"&amp;TEXT(ROW()-1,"000")</f>
        <v/>
      </c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>
        <f>IF(I267="","",TODAY()-I267)</f>
        <v/>
      </c>
      <c r="AC267" s="48">
        <f>IF(M267="","",M267-TODAY())</f>
        <v/>
      </c>
      <c r="AD267" s="48">
        <f>IF(B267="","",COUNTIFS('Interview Tracker'!A:A,B267))</f>
        <v/>
      </c>
      <c r="AE267" s="48" t="n"/>
      <c r="AF267" s="48" t="n"/>
      <c r="AG267" s="48" t="n"/>
    </row>
    <row r="268" ht="22" customHeight="1">
      <c r="A268" s="46">
        <f>"APP-"&amp;TEXT(ROW()-1,"000")</f>
        <v/>
      </c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  <c r="AA268" s="46" t="n"/>
      <c r="AB268" s="46">
        <f>IF(I268="","",TODAY()-I268)</f>
        <v/>
      </c>
      <c r="AC268" s="46">
        <f>IF(M268="","",M268-TODAY())</f>
        <v/>
      </c>
      <c r="AD268" s="46">
        <f>IF(B268="","",COUNTIFS('Interview Tracker'!A:A,B268))</f>
        <v/>
      </c>
      <c r="AE268" s="46" t="n"/>
      <c r="AF268" s="46" t="n"/>
      <c r="AG268" s="46" t="n"/>
    </row>
    <row r="269" ht="22" customHeight="1">
      <c r="A269" s="48">
        <f>"APP-"&amp;TEXT(ROW()-1,"000")</f>
        <v/>
      </c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>
        <f>IF(I269="","",TODAY()-I269)</f>
        <v/>
      </c>
      <c r="AC269" s="48">
        <f>IF(M269="","",M269-TODAY())</f>
        <v/>
      </c>
      <c r="AD269" s="48">
        <f>IF(B269="","",COUNTIFS('Interview Tracker'!A:A,B269))</f>
        <v/>
      </c>
      <c r="AE269" s="48" t="n"/>
      <c r="AF269" s="48" t="n"/>
      <c r="AG269" s="48" t="n"/>
    </row>
    <row r="270" ht="22" customHeight="1">
      <c r="A270" s="46">
        <f>"APP-"&amp;TEXT(ROW()-1,"000")</f>
        <v/>
      </c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  <c r="AA270" s="46" t="n"/>
      <c r="AB270" s="46">
        <f>IF(I270="","",TODAY()-I270)</f>
        <v/>
      </c>
      <c r="AC270" s="46">
        <f>IF(M270="","",M270-TODAY())</f>
        <v/>
      </c>
      <c r="AD270" s="46">
        <f>IF(B270="","",COUNTIFS('Interview Tracker'!A:A,B270))</f>
        <v/>
      </c>
      <c r="AE270" s="46" t="n"/>
      <c r="AF270" s="46" t="n"/>
      <c r="AG270" s="46" t="n"/>
    </row>
    <row r="271" ht="22" customHeight="1">
      <c r="A271" s="48">
        <f>"APP-"&amp;TEXT(ROW()-1,"000")</f>
        <v/>
      </c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>
        <f>IF(I271="","",TODAY()-I271)</f>
        <v/>
      </c>
      <c r="AC271" s="48">
        <f>IF(M271="","",M271-TODAY())</f>
        <v/>
      </c>
      <c r="AD271" s="48">
        <f>IF(B271="","",COUNTIFS('Interview Tracker'!A:A,B271))</f>
        <v/>
      </c>
      <c r="AE271" s="48" t="n"/>
      <c r="AF271" s="48" t="n"/>
      <c r="AG271" s="48" t="n"/>
    </row>
    <row r="272" ht="22" customHeight="1">
      <c r="A272" s="46">
        <f>"APP-"&amp;TEXT(ROW()-1,"000")</f>
        <v/>
      </c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  <c r="AA272" s="46" t="n"/>
      <c r="AB272" s="46">
        <f>IF(I272="","",TODAY()-I272)</f>
        <v/>
      </c>
      <c r="AC272" s="46">
        <f>IF(M272="","",M272-TODAY())</f>
        <v/>
      </c>
      <c r="AD272" s="46">
        <f>IF(B272="","",COUNTIFS('Interview Tracker'!A:A,B272))</f>
        <v/>
      </c>
      <c r="AE272" s="46" t="n"/>
      <c r="AF272" s="46" t="n"/>
      <c r="AG272" s="46" t="n"/>
    </row>
    <row r="273" ht="22" customHeight="1">
      <c r="A273" s="48">
        <f>"APP-"&amp;TEXT(ROW()-1,"000")</f>
        <v/>
      </c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>
        <f>IF(I273="","",TODAY()-I273)</f>
        <v/>
      </c>
      <c r="AC273" s="48">
        <f>IF(M273="","",M273-TODAY())</f>
        <v/>
      </c>
      <c r="AD273" s="48">
        <f>IF(B273="","",COUNTIFS('Interview Tracker'!A:A,B273))</f>
        <v/>
      </c>
      <c r="AE273" s="48" t="n"/>
      <c r="AF273" s="48" t="n"/>
      <c r="AG273" s="48" t="n"/>
    </row>
    <row r="274" ht="22" customHeight="1">
      <c r="A274" s="46">
        <f>"APP-"&amp;TEXT(ROW()-1,"000")</f>
        <v/>
      </c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  <c r="AA274" s="46" t="n"/>
      <c r="AB274" s="46">
        <f>IF(I274="","",TODAY()-I274)</f>
        <v/>
      </c>
      <c r="AC274" s="46">
        <f>IF(M274="","",M274-TODAY())</f>
        <v/>
      </c>
      <c r="AD274" s="46">
        <f>IF(B274="","",COUNTIFS('Interview Tracker'!A:A,B274))</f>
        <v/>
      </c>
      <c r="AE274" s="46" t="n"/>
      <c r="AF274" s="46" t="n"/>
      <c r="AG274" s="46" t="n"/>
    </row>
    <row r="275" ht="22" customHeight="1">
      <c r="A275" s="48">
        <f>"APP-"&amp;TEXT(ROW()-1,"000")</f>
        <v/>
      </c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>
        <f>IF(I275="","",TODAY()-I275)</f>
        <v/>
      </c>
      <c r="AC275" s="48">
        <f>IF(M275="","",M275-TODAY())</f>
        <v/>
      </c>
      <c r="AD275" s="48">
        <f>IF(B275="","",COUNTIFS('Interview Tracker'!A:A,B275))</f>
        <v/>
      </c>
      <c r="AE275" s="48" t="n"/>
      <c r="AF275" s="48" t="n"/>
      <c r="AG275" s="48" t="n"/>
    </row>
    <row r="276" ht="22" customHeight="1">
      <c r="A276" s="46">
        <f>"APP-"&amp;TEXT(ROW()-1,"000")</f>
        <v/>
      </c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  <c r="AA276" s="46" t="n"/>
      <c r="AB276" s="46">
        <f>IF(I276="","",TODAY()-I276)</f>
        <v/>
      </c>
      <c r="AC276" s="46">
        <f>IF(M276="","",M276-TODAY())</f>
        <v/>
      </c>
      <c r="AD276" s="46">
        <f>IF(B276="","",COUNTIFS('Interview Tracker'!A:A,B276))</f>
        <v/>
      </c>
      <c r="AE276" s="46" t="n"/>
      <c r="AF276" s="46" t="n"/>
      <c r="AG276" s="46" t="n"/>
    </row>
    <row r="277" ht="22" customHeight="1">
      <c r="A277" s="48">
        <f>"APP-"&amp;TEXT(ROW()-1,"000")</f>
        <v/>
      </c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>
        <f>IF(I277="","",TODAY()-I277)</f>
        <v/>
      </c>
      <c r="AC277" s="48">
        <f>IF(M277="","",M277-TODAY())</f>
        <v/>
      </c>
      <c r="AD277" s="48">
        <f>IF(B277="","",COUNTIFS('Interview Tracker'!A:A,B277))</f>
        <v/>
      </c>
      <c r="AE277" s="48" t="n"/>
      <c r="AF277" s="48" t="n"/>
      <c r="AG277" s="48" t="n"/>
    </row>
    <row r="278" ht="22" customHeight="1">
      <c r="A278" s="46">
        <f>"APP-"&amp;TEXT(ROW()-1,"000")</f>
        <v/>
      </c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  <c r="AA278" s="46" t="n"/>
      <c r="AB278" s="46">
        <f>IF(I278="","",TODAY()-I278)</f>
        <v/>
      </c>
      <c r="AC278" s="46">
        <f>IF(M278="","",M278-TODAY())</f>
        <v/>
      </c>
      <c r="AD278" s="46">
        <f>IF(B278="","",COUNTIFS('Interview Tracker'!A:A,B278))</f>
        <v/>
      </c>
      <c r="AE278" s="46" t="n"/>
      <c r="AF278" s="46" t="n"/>
      <c r="AG278" s="46" t="n"/>
    </row>
    <row r="279" ht="22" customHeight="1">
      <c r="A279" s="48">
        <f>"APP-"&amp;TEXT(ROW()-1,"000")</f>
        <v/>
      </c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>
        <f>IF(I279="","",TODAY()-I279)</f>
        <v/>
      </c>
      <c r="AC279" s="48">
        <f>IF(M279="","",M279-TODAY())</f>
        <v/>
      </c>
      <c r="AD279" s="48">
        <f>IF(B279="","",COUNTIFS('Interview Tracker'!A:A,B279))</f>
        <v/>
      </c>
      <c r="AE279" s="48" t="n"/>
      <c r="AF279" s="48" t="n"/>
      <c r="AG279" s="48" t="n"/>
    </row>
    <row r="280" ht="22" customHeight="1">
      <c r="A280" s="46">
        <f>"APP-"&amp;TEXT(ROW()-1,"000")</f>
        <v/>
      </c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  <c r="AA280" s="46" t="n"/>
      <c r="AB280" s="46">
        <f>IF(I280="","",TODAY()-I280)</f>
        <v/>
      </c>
      <c r="AC280" s="46">
        <f>IF(M280="","",M280-TODAY())</f>
        <v/>
      </c>
      <c r="AD280" s="46">
        <f>IF(B280="","",COUNTIFS('Interview Tracker'!A:A,B280))</f>
        <v/>
      </c>
      <c r="AE280" s="46" t="n"/>
      <c r="AF280" s="46" t="n"/>
      <c r="AG280" s="46" t="n"/>
    </row>
    <row r="281" ht="22" customHeight="1">
      <c r="A281" s="48">
        <f>"APP-"&amp;TEXT(ROW()-1,"000")</f>
        <v/>
      </c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>
        <f>IF(I281="","",TODAY()-I281)</f>
        <v/>
      </c>
      <c r="AC281" s="48">
        <f>IF(M281="","",M281-TODAY())</f>
        <v/>
      </c>
      <c r="AD281" s="48">
        <f>IF(B281="","",COUNTIFS('Interview Tracker'!A:A,B281))</f>
        <v/>
      </c>
      <c r="AE281" s="48" t="n"/>
      <c r="AF281" s="48" t="n"/>
      <c r="AG281" s="48" t="n"/>
    </row>
    <row r="282" ht="22" customHeight="1">
      <c r="A282" s="46">
        <f>"APP-"&amp;TEXT(ROW()-1,"000")</f>
        <v/>
      </c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  <c r="AA282" s="46" t="n"/>
      <c r="AB282" s="46">
        <f>IF(I282="","",TODAY()-I282)</f>
        <v/>
      </c>
      <c r="AC282" s="46">
        <f>IF(M282="","",M282-TODAY())</f>
        <v/>
      </c>
      <c r="AD282" s="46">
        <f>IF(B282="","",COUNTIFS('Interview Tracker'!A:A,B282))</f>
        <v/>
      </c>
      <c r="AE282" s="46" t="n"/>
      <c r="AF282" s="46" t="n"/>
      <c r="AG282" s="46" t="n"/>
    </row>
    <row r="283" ht="22" customHeight="1">
      <c r="A283" s="48">
        <f>"APP-"&amp;TEXT(ROW()-1,"000")</f>
        <v/>
      </c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>
        <f>IF(I283="","",TODAY()-I283)</f>
        <v/>
      </c>
      <c r="AC283" s="48">
        <f>IF(M283="","",M283-TODAY())</f>
        <v/>
      </c>
      <c r="AD283" s="48">
        <f>IF(B283="","",COUNTIFS('Interview Tracker'!A:A,B283))</f>
        <v/>
      </c>
      <c r="AE283" s="48" t="n"/>
      <c r="AF283" s="48" t="n"/>
      <c r="AG283" s="48" t="n"/>
    </row>
    <row r="284" ht="22" customHeight="1">
      <c r="A284" s="46">
        <f>"APP-"&amp;TEXT(ROW()-1,"000")</f>
        <v/>
      </c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  <c r="AA284" s="46" t="n"/>
      <c r="AB284" s="46">
        <f>IF(I284="","",TODAY()-I284)</f>
        <v/>
      </c>
      <c r="AC284" s="46">
        <f>IF(M284="","",M284-TODAY())</f>
        <v/>
      </c>
      <c r="AD284" s="46">
        <f>IF(B284="","",COUNTIFS('Interview Tracker'!A:A,B284))</f>
        <v/>
      </c>
      <c r="AE284" s="46" t="n"/>
      <c r="AF284" s="46" t="n"/>
      <c r="AG284" s="46" t="n"/>
    </row>
    <row r="285" ht="22" customHeight="1">
      <c r="A285" s="48">
        <f>"APP-"&amp;TEXT(ROW()-1,"000")</f>
        <v/>
      </c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>
        <f>IF(I285="","",TODAY()-I285)</f>
        <v/>
      </c>
      <c r="AC285" s="48">
        <f>IF(M285="","",M285-TODAY())</f>
        <v/>
      </c>
      <c r="AD285" s="48">
        <f>IF(B285="","",COUNTIFS('Interview Tracker'!A:A,B285))</f>
        <v/>
      </c>
      <c r="AE285" s="48" t="n"/>
      <c r="AF285" s="48" t="n"/>
      <c r="AG285" s="48" t="n"/>
    </row>
    <row r="286" ht="22" customHeight="1">
      <c r="A286" s="46">
        <f>"APP-"&amp;TEXT(ROW()-1,"000")</f>
        <v/>
      </c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  <c r="AA286" s="46" t="n"/>
      <c r="AB286" s="46">
        <f>IF(I286="","",TODAY()-I286)</f>
        <v/>
      </c>
      <c r="AC286" s="46">
        <f>IF(M286="","",M286-TODAY())</f>
        <v/>
      </c>
      <c r="AD286" s="46">
        <f>IF(B286="","",COUNTIFS('Interview Tracker'!A:A,B286))</f>
        <v/>
      </c>
      <c r="AE286" s="46" t="n"/>
      <c r="AF286" s="46" t="n"/>
      <c r="AG286" s="46" t="n"/>
    </row>
    <row r="287" ht="22" customHeight="1">
      <c r="A287" s="48">
        <f>"APP-"&amp;TEXT(ROW()-1,"000")</f>
        <v/>
      </c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>
        <f>IF(I287="","",TODAY()-I287)</f>
        <v/>
      </c>
      <c r="AC287" s="48">
        <f>IF(M287="","",M287-TODAY())</f>
        <v/>
      </c>
      <c r="AD287" s="48">
        <f>IF(B287="","",COUNTIFS('Interview Tracker'!A:A,B287))</f>
        <v/>
      </c>
      <c r="AE287" s="48" t="n"/>
      <c r="AF287" s="48" t="n"/>
      <c r="AG287" s="48" t="n"/>
    </row>
    <row r="288" ht="22" customHeight="1">
      <c r="A288" s="46">
        <f>"APP-"&amp;TEXT(ROW()-1,"000")</f>
        <v/>
      </c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  <c r="AA288" s="46" t="n"/>
      <c r="AB288" s="46">
        <f>IF(I288="","",TODAY()-I288)</f>
        <v/>
      </c>
      <c r="AC288" s="46">
        <f>IF(M288="","",M288-TODAY())</f>
        <v/>
      </c>
      <c r="AD288" s="46">
        <f>IF(B288="","",COUNTIFS('Interview Tracker'!A:A,B288))</f>
        <v/>
      </c>
      <c r="AE288" s="46" t="n"/>
      <c r="AF288" s="46" t="n"/>
      <c r="AG288" s="46" t="n"/>
    </row>
    <row r="289" ht="22" customHeight="1">
      <c r="A289" s="48">
        <f>"APP-"&amp;TEXT(ROW()-1,"000")</f>
        <v/>
      </c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>
        <f>IF(I289="","",TODAY()-I289)</f>
        <v/>
      </c>
      <c r="AC289" s="48">
        <f>IF(M289="","",M289-TODAY())</f>
        <v/>
      </c>
      <c r="AD289" s="48">
        <f>IF(B289="","",COUNTIFS('Interview Tracker'!A:A,B289))</f>
        <v/>
      </c>
      <c r="AE289" s="48" t="n"/>
      <c r="AF289" s="48" t="n"/>
      <c r="AG289" s="48" t="n"/>
    </row>
    <row r="290" ht="22" customHeight="1">
      <c r="A290" s="46">
        <f>"APP-"&amp;TEXT(ROW()-1,"000")</f>
        <v/>
      </c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  <c r="AA290" s="46" t="n"/>
      <c r="AB290" s="46">
        <f>IF(I290="","",TODAY()-I290)</f>
        <v/>
      </c>
      <c r="AC290" s="46">
        <f>IF(M290="","",M290-TODAY())</f>
        <v/>
      </c>
      <c r="AD290" s="46">
        <f>IF(B290="","",COUNTIFS('Interview Tracker'!A:A,B290))</f>
        <v/>
      </c>
      <c r="AE290" s="46" t="n"/>
      <c r="AF290" s="46" t="n"/>
      <c r="AG290" s="46" t="n"/>
    </row>
    <row r="291" ht="22" customHeight="1">
      <c r="A291" s="48">
        <f>"APP-"&amp;TEXT(ROW()-1,"000")</f>
        <v/>
      </c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>
        <f>IF(I291="","",TODAY()-I291)</f>
        <v/>
      </c>
      <c r="AC291" s="48">
        <f>IF(M291="","",M291-TODAY())</f>
        <v/>
      </c>
      <c r="AD291" s="48">
        <f>IF(B291="","",COUNTIFS('Interview Tracker'!A:A,B291))</f>
        <v/>
      </c>
      <c r="AE291" s="48" t="n"/>
      <c r="AF291" s="48" t="n"/>
      <c r="AG291" s="48" t="n"/>
    </row>
    <row r="292" ht="22" customHeight="1">
      <c r="A292" s="46">
        <f>"APP-"&amp;TEXT(ROW()-1,"000")</f>
        <v/>
      </c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  <c r="AA292" s="46" t="n"/>
      <c r="AB292" s="46">
        <f>IF(I292="","",TODAY()-I292)</f>
        <v/>
      </c>
      <c r="AC292" s="46">
        <f>IF(M292="","",M292-TODAY())</f>
        <v/>
      </c>
      <c r="AD292" s="46">
        <f>IF(B292="","",COUNTIFS('Interview Tracker'!A:A,B292))</f>
        <v/>
      </c>
      <c r="AE292" s="46" t="n"/>
      <c r="AF292" s="46" t="n"/>
      <c r="AG292" s="46" t="n"/>
    </row>
    <row r="293" ht="22" customHeight="1">
      <c r="A293" s="48">
        <f>"APP-"&amp;TEXT(ROW()-1,"000")</f>
        <v/>
      </c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>
        <f>IF(I293="","",TODAY()-I293)</f>
        <v/>
      </c>
      <c r="AC293" s="48">
        <f>IF(M293="","",M293-TODAY())</f>
        <v/>
      </c>
      <c r="AD293" s="48">
        <f>IF(B293="","",COUNTIFS('Interview Tracker'!A:A,B293))</f>
        <v/>
      </c>
      <c r="AE293" s="48" t="n"/>
      <c r="AF293" s="48" t="n"/>
      <c r="AG293" s="48" t="n"/>
    </row>
    <row r="294" ht="22" customHeight="1">
      <c r="A294" s="46">
        <f>"APP-"&amp;TEXT(ROW()-1,"000")</f>
        <v/>
      </c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  <c r="AA294" s="46" t="n"/>
      <c r="AB294" s="46">
        <f>IF(I294="","",TODAY()-I294)</f>
        <v/>
      </c>
      <c r="AC294" s="46">
        <f>IF(M294="","",M294-TODAY())</f>
        <v/>
      </c>
      <c r="AD294" s="46">
        <f>IF(B294="","",COUNTIFS('Interview Tracker'!A:A,B294))</f>
        <v/>
      </c>
      <c r="AE294" s="46" t="n"/>
      <c r="AF294" s="46" t="n"/>
      <c r="AG294" s="46" t="n"/>
    </row>
    <row r="295" ht="22" customHeight="1">
      <c r="A295" s="48">
        <f>"APP-"&amp;TEXT(ROW()-1,"000")</f>
        <v/>
      </c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>
        <f>IF(I295="","",TODAY()-I295)</f>
        <v/>
      </c>
      <c r="AC295" s="48">
        <f>IF(M295="","",M295-TODAY())</f>
        <v/>
      </c>
      <c r="AD295" s="48">
        <f>IF(B295="","",COUNTIFS('Interview Tracker'!A:A,B295))</f>
        <v/>
      </c>
      <c r="AE295" s="48" t="n"/>
      <c r="AF295" s="48" t="n"/>
      <c r="AG295" s="48" t="n"/>
    </row>
    <row r="296" ht="22" customHeight="1">
      <c r="A296" s="46">
        <f>"APP-"&amp;TEXT(ROW()-1,"000")</f>
        <v/>
      </c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6" t="n"/>
      <c r="AB296" s="46">
        <f>IF(I296="","",TODAY()-I296)</f>
        <v/>
      </c>
      <c r="AC296" s="46">
        <f>IF(M296="","",M296-TODAY())</f>
        <v/>
      </c>
      <c r="AD296" s="46">
        <f>IF(B296="","",COUNTIFS('Interview Tracker'!A:A,B296))</f>
        <v/>
      </c>
      <c r="AE296" s="46" t="n"/>
      <c r="AF296" s="46" t="n"/>
      <c r="AG296" s="46" t="n"/>
    </row>
    <row r="297" ht="22" customHeight="1">
      <c r="A297" s="48">
        <f>"APP-"&amp;TEXT(ROW()-1,"000")</f>
        <v/>
      </c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>
        <f>IF(I297="","",TODAY()-I297)</f>
        <v/>
      </c>
      <c r="AC297" s="48">
        <f>IF(M297="","",M297-TODAY())</f>
        <v/>
      </c>
      <c r="AD297" s="48">
        <f>IF(B297="","",COUNTIFS('Interview Tracker'!A:A,B297))</f>
        <v/>
      </c>
      <c r="AE297" s="48" t="n"/>
      <c r="AF297" s="48" t="n"/>
      <c r="AG297" s="48" t="n"/>
    </row>
    <row r="298" ht="22" customHeight="1">
      <c r="A298" s="46">
        <f>"APP-"&amp;TEXT(ROW()-1,"000")</f>
        <v/>
      </c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  <c r="AA298" s="46" t="n"/>
      <c r="AB298" s="46">
        <f>IF(I298="","",TODAY()-I298)</f>
        <v/>
      </c>
      <c r="AC298" s="46">
        <f>IF(M298="","",M298-TODAY())</f>
        <v/>
      </c>
      <c r="AD298" s="46">
        <f>IF(B298="","",COUNTIFS('Interview Tracker'!A:A,B298))</f>
        <v/>
      </c>
      <c r="AE298" s="46" t="n"/>
      <c r="AF298" s="46" t="n"/>
      <c r="AG298" s="46" t="n"/>
    </row>
    <row r="299" ht="22" customHeight="1">
      <c r="A299" s="48">
        <f>"APP-"&amp;TEXT(ROW()-1,"000")</f>
        <v/>
      </c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>
        <f>IF(I299="","",TODAY()-I299)</f>
        <v/>
      </c>
      <c r="AC299" s="48">
        <f>IF(M299="","",M299-TODAY())</f>
        <v/>
      </c>
      <c r="AD299" s="48">
        <f>IF(B299="","",COUNTIFS('Interview Tracker'!A:A,B299))</f>
        <v/>
      </c>
      <c r="AE299" s="48" t="n"/>
      <c r="AF299" s="48" t="n"/>
      <c r="AG299" s="48" t="n"/>
    </row>
    <row r="300" ht="22" customHeight="1">
      <c r="A300" s="46">
        <f>"APP-"&amp;TEXT(ROW()-1,"000")</f>
        <v/>
      </c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  <c r="AA300" s="46" t="n"/>
      <c r="AB300" s="46">
        <f>IF(I300="","",TODAY()-I300)</f>
        <v/>
      </c>
      <c r="AC300" s="46">
        <f>IF(M300="","",M300-TODAY())</f>
        <v/>
      </c>
      <c r="AD300" s="46">
        <f>IF(B300="","",COUNTIFS('Interview Tracker'!A:A,B300))</f>
        <v/>
      </c>
      <c r="AE300" s="46" t="n"/>
      <c r="AF300" s="46" t="n"/>
      <c r="AG300" s="46" t="n"/>
    </row>
    <row r="301" ht="22" customHeight="1">
      <c r="A301" s="48">
        <f>"APP-"&amp;TEXT(ROW()-1,"000")</f>
        <v/>
      </c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>
        <f>IF(I301="","",TODAY()-I301)</f>
        <v/>
      </c>
      <c r="AC301" s="48">
        <f>IF(M301="","",M301-TODAY())</f>
        <v/>
      </c>
      <c r="AD301" s="48">
        <f>IF(B301="","",COUNTIFS('Interview Tracker'!A:A,B301))</f>
        <v/>
      </c>
      <c r="AE301" s="48" t="n"/>
      <c r="AF301" s="48" t="n"/>
      <c r="AG301" s="48" t="n"/>
    </row>
    <row r="302" ht="22" customHeight="1">
      <c r="A302" s="46">
        <f>"APP-"&amp;TEXT(ROW()-1,"000")</f>
        <v/>
      </c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  <c r="AA302" s="46" t="n"/>
      <c r="AB302" s="46">
        <f>IF(I302="","",TODAY()-I302)</f>
        <v/>
      </c>
      <c r="AC302" s="46">
        <f>IF(M302="","",M302-TODAY())</f>
        <v/>
      </c>
      <c r="AD302" s="46">
        <f>IF(B302="","",COUNTIFS('Interview Tracker'!A:A,B302))</f>
        <v/>
      </c>
      <c r="AE302" s="46" t="n"/>
      <c r="AF302" s="46" t="n"/>
      <c r="AG302" s="46" t="n"/>
    </row>
    <row r="303" ht="22" customHeight="1">
      <c r="A303" s="48">
        <f>"APP-"&amp;TEXT(ROW()-1,"000")</f>
        <v/>
      </c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>
        <f>IF(I303="","",TODAY()-I303)</f>
        <v/>
      </c>
      <c r="AC303" s="48">
        <f>IF(M303="","",M303-TODAY())</f>
        <v/>
      </c>
      <c r="AD303" s="48">
        <f>IF(B303="","",COUNTIFS('Interview Tracker'!A:A,B303))</f>
        <v/>
      </c>
      <c r="AE303" s="48" t="n"/>
      <c r="AF303" s="48" t="n"/>
      <c r="AG303" s="48" t="n"/>
    </row>
    <row r="304" ht="22" customHeight="1">
      <c r="A304" s="46">
        <f>"APP-"&amp;TEXT(ROW()-1,"000")</f>
        <v/>
      </c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  <c r="AA304" s="46" t="n"/>
      <c r="AB304" s="46">
        <f>IF(I304="","",TODAY()-I304)</f>
        <v/>
      </c>
      <c r="AC304" s="46">
        <f>IF(M304="","",M304-TODAY())</f>
        <v/>
      </c>
      <c r="AD304" s="46">
        <f>IF(B304="","",COUNTIFS('Interview Tracker'!A:A,B304))</f>
        <v/>
      </c>
      <c r="AE304" s="46" t="n"/>
      <c r="AF304" s="46" t="n"/>
      <c r="AG304" s="46" t="n"/>
    </row>
    <row r="305" ht="22" customHeight="1">
      <c r="A305" s="48">
        <f>"APP-"&amp;TEXT(ROW()-1,"000")</f>
        <v/>
      </c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>
        <f>IF(I305="","",TODAY()-I305)</f>
        <v/>
      </c>
      <c r="AC305" s="48">
        <f>IF(M305="","",M305-TODAY())</f>
        <v/>
      </c>
      <c r="AD305" s="48">
        <f>IF(B305="","",COUNTIFS('Interview Tracker'!A:A,B305))</f>
        <v/>
      </c>
      <c r="AE305" s="48" t="n"/>
      <c r="AF305" s="48" t="n"/>
      <c r="AG305" s="48" t="n"/>
    </row>
    <row r="306" ht="22" customHeight="1">
      <c r="A306" s="46">
        <f>"APP-"&amp;TEXT(ROW()-1,"000")</f>
        <v/>
      </c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  <c r="AA306" s="46" t="n"/>
      <c r="AB306" s="46">
        <f>IF(I306="","",TODAY()-I306)</f>
        <v/>
      </c>
      <c r="AC306" s="46">
        <f>IF(M306="","",M306-TODAY())</f>
        <v/>
      </c>
      <c r="AD306" s="46">
        <f>IF(B306="","",COUNTIFS('Interview Tracker'!A:A,B306))</f>
        <v/>
      </c>
      <c r="AE306" s="46" t="n"/>
      <c r="AF306" s="46" t="n"/>
      <c r="AG306" s="46" t="n"/>
    </row>
    <row r="307" ht="22" customHeight="1">
      <c r="A307" s="48">
        <f>"APP-"&amp;TEXT(ROW()-1,"000")</f>
        <v/>
      </c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>
        <f>IF(I307="","",TODAY()-I307)</f>
        <v/>
      </c>
      <c r="AC307" s="48">
        <f>IF(M307="","",M307-TODAY())</f>
        <v/>
      </c>
      <c r="AD307" s="48">
        <f>IF(B307="","",COUNTIFS('Interview Tracker'!A:A,B307))</f>
        <v/>
      </c>
      <c r="AE307" s="48" t="n"/>
      <c r="AF307" s="48" t="n"/>
      <c r="AG307" s="48" t="n"/>
    </row>
    <row r="308" ht="22" customHeight="1">
      <c r="A308" s="46">
        <f>"APP-"&amp;TEXT(ROW()-1,"000")</f>
        <v/>
      </c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  <c r="AA308" s="46" t="n"/>
      <c r="AB308" s="46">
        <f>IF(I308="","",TODAY()-I308)</f>
        <v/>
      </c>
      <c r="AC308" s="46">
        <f>IF(M308="","",M308-TODAY())</f>
        <v/>
      </c>
      <c r="AD308" s="46">
        <f>IF(B308="","",COUNTIFS('Interview Tracker'!A:A,B308))</f>
        <v/>
      </c>
      <c r="AE308" s="46" t="n"/>
      <c r="AF308" s="46" t="n"/>
      <c r="AG308" s="46" t="n"/>
    </row>
    <row r="309" ht="22" customHeight="1">
      <c r="A309" s="48">
        <f>"APP-"&amp;TEXT(ROW()-1,"000")</f>
        <v/>
      </c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>
        <f>IF(I309="","",TODAY()-I309)</f>
        <v/>
      </c>
      <c r="AC309" s="48">
        <f>IF(M309="","",M309-TODAY())</f>
        <v/>
      </c>
      <c r="AD309" s="48">
        <f>IF(B309="","",COUNTIFS('Interview Tracker'!A:A,B309))</f>
        <v/>
      </c>
      <c r="AE309" s="48" t="n"/>
      <c r="AF309" s="48" t="n"/>
      <c r="AG309" s="48" t="n"/>
    </row>
    <row r="310" ht="22" customHeight="1">
      <c r="A310" s="46">
        <f>"APP-"&amp;TEXT(ROW()-1,"000")</f>
        <v/>
      </c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  <c r="AA310" s="46" t="n"/>
      <c r="AB310" s="46">
        <f>IF(I310="","",TODAY()-I310)</f>
        <v/>
      </c>
      <c r="AC310" s="46">
        <f>IF(M310="","",M310-TODAY())</f>
        <v/>
      </c>
      <c r="AD310" s="46">
        <f>IF(B310="","",COUNTIFS('Interview Tracker'!A:A,B310))</f>
        <v/>
      </c>
      <c r="AE310" s="46" t="n"/>
      <c r="AF310" s="46" t="n"/>
      <c r="AG310" s="46" t="n"/>
    </row>
    <row r="311" ht="22" customHeight="1">
      <c r="A311" s="48">
        <f>"APP-"&amp;TEXT(ROW()-1,"000")</f>
        <v/>
      </c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>
        <f>IF(I311="","",TODAY()-I311)</f>
        <v/>
      </c>
      <c r="AC311" s="48">
        <f>IF(M311="","",M311-TODAY())</f>
        <v/>
      </c>
      <c r="AD311" s="48">
        <f>IF(B311="","",COUNTIFS('Interview Tracker'!A:A,B311))</f>
        <v/>
      </c>
      <c r="AE311" s="48" t="n"/>
      <c r="AF311" s="48" t="n"/>
      <c r="AG311" s="48" t="n"/>
    </row>
    <row r="312" ht="22" customHeight="1">
      <c r="A312" s="46">
        <f>"APP-"&amp;TEXT(ROW()-1,"000")</f>
        <v/>
      </c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  <c r="AA312" s="46" t="n"/>
      <c r="AB312" s="46">
        <f>IF(I312="","",TODAY()-I312)</f>
        <v/>
      </c>
      <c r="AC312" s="46">
        <f>IF(M312="","",M312-TODAY())</f>
        <v/>
      </c>
      <c r="AD312" s="46">
        <f>IF(B312="","",COUNTIFS('Interview Tracker'!A:A,B312))</f>
        <v/>
      </c>
      <c r="AE312" s="46" t="n"/>
      <c r="AF312" s="46" t="n"/>
      <c r="AG312" s="46" t="n"/>
    </row>
    <row r="313" ht="22" customHeight="1">
      <c r="A313" s="48">
        <f>"APP-"&amp;TEXT(ROW()-1,"000")</f>
        <v/>
      </c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>
        <f>IF(I313="","",TODAY()-I313)</f>
        <v/>
      </c>
      <c r="AC313" s="48">
        <f>IF(M313="","",M313-TODAY())</f>
        <v/>
      </c>
      <c r="AD313" s="48">
        <f>IF(B313="","",COUNTIFS('Interview Tracker'!A:A,B313))</f>
        <v/>
      </c>
      <c r="AE313" s="48" t="n"/>
      <c r="AF313" s="48" t="n"/>
      <c r="AG313" s="48" t="n"/>
    </row>
    <row r="314" ht="22" customHeight="1">
      <c r="A314" s="46">
        <f>"APP-"&amp;TEXT(ROW()-1,"000")</f>
        <v/>
      </c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  <c r="AA314" s="46" t="n"/>
      <c r="AB314" s="46">
        <f>IF(I314="","",TODAY()-I314)</f>
        <v/>
      </c>
      <c r="AC314" s="46">
        <f>IF(M314="","",M314-TODAY())</f>
        <v/>
      </c>
      <c r="AD314" s="46">
        <f>IF(B314="","",COUNTIFS('Interview Tracker'!A:A,B314))</f>
        <v/>
      </c>
      <c r="AE314" s="46" t="n"/>
      <c r="AF314" s="46" t="n"/>
      <c r="AG314" s="46" t="n"/>
    </row>
    <row r="315" ht="22" customHeight="1">
      <c r="A315" s="48">
        <f>"APP-"&amp;TEXT(ROW()-1,"000")</f>
        <v/>
      </c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>
        <f>IF(I315="","",TODAY()-I315)</f>
        <v/>
      </c>
      <c r="AC315" s="48">
        <f>IF(M315="","",M315-TODAY())</f>
        <v/>
      </c>
      <c r="AD315" s="48">
        <f>IF(B315="","",COUNTIFS('Interview Tracker'!A:A,B315))</f>
        <v/>
      </c>
      <c r="AE315" s="48" t="n"/>
      <c r="AF315" s="48" t="n"/>
      <c r="AG315" s="48" t="n"/>
    </row>
    <row r="316" ht="22" customHeight="1">
      <c r="A316" s="46">
        <f>"APP-"&amp;TEXT(ROW()-1,"000")</f>
        <v/>
      </c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  <c r="AA316" s="46" t="n"/>
      <c r="AB316" s="46">
        <f>IF(I316="","",TODAY()-I316)</f>
        <v/>
      </c>
      <c r="AC316" s="46">
        <f>IF(M316="","",M316-TODAY())</f>
        <v/>
      </c>
      <c r="AD316" s="46">
        <f>IF(B316="","",COUNTIFS('Interview Tracker'!A:A,B316))</f>
        <v/>
      </c>
      <c r="AE316" s="46" t="n"/>
      <c r="AF316" s="46" t="n"/>
      <c r="AG316" s="46" t="n"/>
    </row>
    <row r="317" ht="22" customHeight="1">
      <c r="A317" s="48">
        <f>"APP-"&amp;TEXT(ROW()-1,"000")</f>
        <v/>
      </c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>
        <f>IF(I317="","",TODAY()-I317)</f>
        <v/>
      </c>
      <c r="AC317" s="48">
        <f>IF(M317="","",M317-TODAY())</f>
        <v/>
      </c>
      <c r="AD317" s="48">
        <f>IF(B317="","",COUNTIFS('Interview Tracker'!A:A,B317))</f>
        <v/>
      </c>
      <c r="AE317" s="48" t="n"/>
      <c r="AF317" s="48" t="n"/>
      <c r="AG317" s="48" t="n"/>
    </row>
    <row r="318" ht="22" customHeight="1">
      <c r="A318" s="46">
        <f>"APP-"&amp;TEXT(ROW()-1,"000")</f>
        <v/>
      </c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  <c r="AA318" s="46" t="n"/>
      <c r="AB318" s="46">
        <f>IF(I318="","",TODAY()-I318)</f>
        <v/>
      </c>
      <c r="AC318" s="46">
        <f>IF(M318="","",M318-TODAY())</f>
        <v/>
      </c>
      <c r="AD318" s="46">
        <f>IF(B318="","",COUNTIFS('Interview Tracker'!A:A,B318))</f>
        <v/>
      </c>
      <c r="AE318" s="46" t="n"/>
      <c r="AF318" s="46" t="n"/>
      <c r="AG318" s="46" t="n"/>
    </row>
    <row r="319" ht="22" customHeight="1">
      <c r="A319" s="48">
        <f>"APP-"&amp;TEXT(ROW()-1,"000")</f>
        <v/>
      </c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>
        <f>IF(I319="","",TODAY()-I319)</f>
        <v/>
      </c>
      <c r="AC319" s="48">
        <f>IF(M319="","",M319-TODAY())</f>
        <v/>
      </c>
      <c r="AD319" s="48">
        <f>IF(B319="","",COUNTIFS('Interview Tracker'!A:A,B319))</f>
        <v/>
      </c>
      <c r="AE319" s="48" t="n"/>
      <c r="AF319" s="48" t="n"/>
      <c r="AG319" s="48" t="n"/>
    </row>
    <row r="320" ht="22" customHeight="1">
      <c r="A320" s="46">
        <f>"APP-"&amp;TEXT(ROW()-1,"000")</f>
        <v/>
      </c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  <c r="AA320" s="46" t="n"/>
      <c r="AB320" s="46">
        <f>IF(I320="","",TODAY()-I320)</f>
        <v/>
      </c>
      <c r="AC320" s="46">
        <f>IF(M320="","",M320-TODAY())</f>
        <v/>
      </c>
      <c r="AD320" s="46">
        <f>IF(B320="","",COUNTIFS('Interview Tracker'!A:A,B320))</f>
        <v/>
      </c>
      <c r="AE320" s="46" t="n"/>
      <c r="AF320" s="46" t="n"/>
      <c r="AG320" s="46" t="n"/>
    </row>
    <row r="321" ht="22" customHeight="1">
      <c r="A321" s="48">
        <f>"APP-"&amp;TEXT(ROW()-1,"000")</f>
        <v/>
      </c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  <c r="Z321" s="48" t="n"/>
      <c r="AA321" s="48" t="n"/>
      <c r="AB321" s="48">
        <f>IF(I321="","",TODAY()-I321)</f>
        <v/>
      </c>
      <c r="AC321" s="48">
        <f>IF(M321="","",M321-TODAY())</f>
        <v/>
      </c>
      <c r="AD321" s="48">
        <f>IF(B321="","",COUNTIFS('Interview Tracker'!A:A,B321))</f>
        <v/>
      </c>
      <c r="AE321" s="48" t="n"/>
      <c r="AF321" s="48" t="n"/>
      <c r="AG321" s="48" t="n"/>
    </row>
    <row r="322" ht="22" customHeight="1">
      <c r="A322" s="46">
        <f>"APP-"&amp;TEXT(ROW()-1,"000")</f>
        <v/>
      </c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  <c r="AA322" s="46" t="n"/>
      <c r="AB322" s="46">
        <f>IF(I322="","",TODAY()-I322)</f>
        <v/>
      </c>
      <c r="AC322" s="46">
        <f>IF(M322="","",M322-TODAY())</f>
        <v/>
      </c>
      <c r="AD322" s="46">
        <f>IF(B322="","",COUNTIFS('Interview Tracker'!A:A,B322))</f>
        <v/>
      </c>
      <c r="AE322" s="46" t="n"/>
      <c r="AF322" s="46" t="n"/>
      <c r="AG322" s="46" t="n"/>
    </row>
    <row r="323" ht="22" customHeight="1">
      <c r="A323" s="48">
        <f>"APP-"&amp;TEXT(ROW()-1,"000")</f>
        <v/>
      </c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  <c r="Z323" s="48" t="n"/>
      <c r="AA323" s="48" t="n"/>
      <c r="AB323" s="48">
        <f>IF(I323="","",TODAY()-I323)</f>
        <v/>
      </c>
      <c r="AC323" s="48">
        <f>IF(M323="","",M323-TODAY())</f>
        <v/>
      </c>
      <c r="AD323" s="48">
        <f>IF(B323="","",COUNTIFS('Interview Tracker'!A:A,B323))</f>
        <v/>
      </c>
      <c r="AE323" s="48" t="n"/>
      <c r="AF323" s="48" t="n"/>
      <c r="AG323" s="48" t="n"/>
    </row>
    <row r="324" ht="22" customHeight="1">
      <c r="A324" s="46">
        <f>"APP-"&amp;TEXT(ROW()-1,"000")</f>
        <v/>
      </c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  <c r="AA324" s="46" t="n"/>
      <c r="AB324" s="46">
        <f>IF(I324="","",TODAY()-I324)</f>
        <v/>
      </c>
      <c r="AC324" s="46">
        <f>IF(M324="","",M324-TODAY())</f>
        <v/>
      </c>
      <c r="AD324" s="46">
        <f>IF(B324="","",COUNTIFS('Interview Tracker'!A:A,B324))</f>
        <v/>
      </c>
      <c r="AE324" s="46" t="n"/>
      <c r="AF324" s="46" t="n"/>
      <c r="AG324" s="46" t="n"/>
    </row>
    <row r="325" ht="22" customHeight="1">
      <c r="A325" s="48">
        <f>"APP-"&amp;TEXT(ROW()-1,"000")</f>
        <v/>
      </c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  <c r="Z325" s="48" t="n"/>
      <c r="AA325" s="48" t="n"/>
      <c r="AB325" s="48">
        <f>IF(I325="","",TODAY()-I325)</f>
        <v/>
      </c>
      <c r="AC325" s="48">
        <f>IF(M325="","",M325-TODAY())</f>
        <v/>
      </c>
      <c r="AD325" s="48">
        <f>IF(B325="","",COUNTIFS('Interview Tracker'!A:A,B325))</f>
        <v/>
      </c>
      <c r="AE325" s="48" t="n"/>
      <c r="AF325" s="48" t="n"/>
      <c r="AG325" s="48" t="n"/>
    </row>
    <row r="326" ht="22" customHeight="1">
      <c r="A326" s="46">
        <f>"APP-"&amp;TEXT(ROW()-1,"000")</f>
        <v/>
      </c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  <c r="AA326" s="46" t="n"/>
      <c r="AB326" s="46">
        <f>IF(I326="","",TODAY()-I326)</f>
        <v/>
      </c>
      <c r="AC326" s="46">
        <f>IF(M326="","",M326-TODAY())</f>
        <v/>
      </c>
      <c r="AD326" s="46">
        <f>IF(B326="","",COUNTIFS('Interview Tracker'!A:A,B326))</f>
        <v/>
      </c>
      <c r="AE326" s="46" t="n"/>
      <c r="AF326" s="46" t="n"/>
      <c r="AG326" s="46" t="n"/>
    </row>
    <row r="327" ht="22" customHeight="1">
      <c r="A327" s="48">
        <f>"APP-"&amp;TEXT(ROW()-1,"000")</f>
        <v/>
      </c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  <c r="Z327" s="48" t="n"/>
      <c r="AA327" s="48" t="n"/>
      <c r="AB327" s="48">
        <f>IF(I327="","",TODAY()-I327)</f>
        <v/>
      </c>
      <c r="AC327" s="48">
        <f>IF(M327="","",M327-TODAY())</f>
        <v/>
      </c>
      <c r="AD327" s="48">
        <f>IF(B327="","",COUNTIFS('Interview Tracker'!A:A,B327))</f>
        <v/>
      </c>
      <c r="AE327" s="48" t="n"/>
      <c r="AF327" s="48" t="n"/>
      <c r="AG327" s="48" t="n"/>
    </row>
    <row r="328" ht="22" customHeight="1">
      <c r="A328" s="46">
        <f>"APP-"&amp;TEXT(ROW()-1,"000")</f>
        <v/>
      </c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  <c r="AA328" s="46" t="n"/>
      <c r="AB328" s="46">
        <f>IF(I328="","",TODAY()-I328)</f>
        <v/>
      </c>
      <c r="AC328" s="46">
        <f>IF(M328="","",M328-TODAY())</f>
        <v/>
      </c>
      <c r="AD328" s="46">
        <f>IF(B328="","",COUNTIFS('Interview Tracker'!A:A,B328))</f>
        <v/>
      </c>
      <c r="AE328" s="46" t="n"/>
      <c r="AF328" s="46" t="n"/>
      <c r="AG328" s="46" t="n"/>
    </row>
    <row r="329" ht="22" customHeight="1">
      <c r="A329" s="48">
        <f>"APP-"&amp;TEXT(ROW()-1,"000")</f>
        <v/>
      </c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  <c r="Z329" s="48" t="n"/>
      <c r="AA329" s="48" t="n"/>
      <c r="AB329" s="48">
        <f>IF(I329="","",TODAY()-I329)</f>
        <v/>
      </c>
      <c r="AC329" s="48">
        <f>IF(M329="","",M329-TODAY())</f>
        <v/>
      </c>
      <c r="AD329" s="48">
        <f>IF(B329="","",COUNTIFS('Interview Tracker'!A:A,B329))</f>
        <v/>
      </c>
      <c r="AE329" s="48" t="n"/>
      <c r="AF329" s="48" t="n"/>
      <c r="AG329" s="48" t="n"/>
    </row>
    <row r="330" ht="22" customHeight="1">
      <c r="A330" s="46">
        <f>"APP-"&amp;TEXT(ROW()-1,"000")</f>
        <v/>
      </c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  <c r="AA330" s="46" t="n"/>
      <c r="AB330" s="46">
        <f>IF(I330="","",TODAY()-I330)</f>
        <v/>
      </c>
      <c r="AC330" s="46">
        <f>IF(M330="","",M330-TODAY())</f>
        <v/>
      </c>
      <c r="AD330" s="46">
        <f>IF(B330="","",COUNTIFS('Interview Tracker'!A:A,B330))</f>
        <v/>
      </c>
      <c r="AE330" s="46" t="n"/>
      <c r="AF330" s="46" t="n"/>
      <c r="AG330" s="46" t="n"/>
    </row>
    <row r="331" ht="22" customHeight="1">
      <c r="A331" s="48">
        <f>"APP-"&amp;TEXT(ROW()-1,"000")</f>
        <v/>
      </c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  <c r="Z331" s="48" t="n"/>
      <c r="AA331" s="48" t="n"/>
      <c r="AB331" s="48">
        <f>IF(I331="","",TODAY()-I331)</f>
        <v/>
      </c>
      <c r="AC331" s="48">
        <f>IF(M331="","",M331-TODAY())</f>
        <v/>
      </c>
      <c r="AD331" s="48">
        <f>IF(B331="","",COUNTIFS('Interview Tracker'!A:A,B331))</f>
        <v/>
      </c>
      <c r="AE331" s="48" t="n"/>
      <c r="AF331" s="48" t="n"/>
      <c r="AG331" s="48" t="n"/>
    </row>
    <row r="332" ht="22" customHeight="1">
      <c r="A332" s="46">
        <f>"APP-"&amp;TEXT(ROW()-1,"000")</f>
        <v/>
      </c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  <c r="AA332" s="46" t="n"/>
      <c r="AB332" s="46">
        <f>IF(I332="","",TODAY()-I332)</f>
        <v/>
      </c>
      <c r="AC332" s="46">
        <f>IF(M332="","",M332-TODAY())</f>
        <v/>
      </c>
      <c r="AD332" s="46">
        <f>IF(B332="","",COUNTIFS('Interview Tracker'!A:A,B332))</f>
        <v/>
      </c>
      <c r="AE332" s="46" t="n"/>
      <c r="AF332" s="46" t="n"/>
      <c r="AG332" s="46" t="n"/>
    </row>
    <row r="333" ht="22" customHeight="1">
      <c r="A333" s="48">
        <f>"APP-"&amp;TEXT(ROW()-1,"000")</f>
        <v/>
      </c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  <c r="Z333" s="48" t="n"/>
      <c r="AA333" s="48" t="n"/>
      <c r="AB333" s="48">
        <f>IF(I333="","",TODAY()-I333)</f>
        <v/>
      </c>
      <c r="AC333" s="48">
        <f>IF(M333="","",M333-TODAY())</f>
        <v/>
      </c>
      <c r="AD333" s="48">
        <f>IF(B333="","",COUNTIFS('Interview Tracker'!A:A,B333))</f>
        <v/>
      </c>
      <c r="AE333" s="48" t="n"/>
      <c r="AF333" s="48" t="n"/>
      <c r="AG333" s="48" t="n"/>
    </row>
    <row r="334" ht="22" customHeight="1">
      <c r="A334" s="46">
        <f>"APP-"&amp;TEXT(ROW()-1,"000")</f>
        <v/>
      </c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  <c r="AA334" s="46" t="n"/>
      <c r="AB334" s="46">
        <f>IF(I334="","",TODAY()-I334)</f>
        <v/>
      </c>
      <c r="AC334" s="46">
        <f>IF(M334="","",M334-TODAY())</f>
        <v/>
      </c>
      <c r="AD334" s="46">
        <f>IF(B334="","",COUNTIFS('Interview Tracker'!A:A,B334))</f>
        <v/>
      </c>
      <c r="AE334" s="46" t="n"/>
      <c r="AF334" s="46" t="n"/>
      <c r="AG334" s="46" t="n"/>
    </row>
    <row r="335" ht="22" customHeight="1">
      <c r="A335" s="48">
        <f>"APP-"&amp;TEXT(ROW()-1,"000")</f>
        <v/>
      </c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  <c r="Z335" s="48" t="n"/>
      <c r="AA335" s="48" t="n"/>
      <c r="AB335" s="48">
        <f>IF(I335="","",TODAY()-I335)</f>
        <v/>
      </c>
      <c r="AC335" s="48">
        <f>IF(M335="","",M335-TODAY())</f>
        <v/>
      </c>
      <c r="AD335" s="48">
        <f>IF(B335="","",COUNTIFS('Interview Tracker'!A:A,B335))</f>
        <v/>
      </c>
      <c r="AE335" s="48" t="n"/>
      <c r="AF335" s="48" t="n"/>
      <c r="AG335" s="48" t="n"/>
    </row>
    <row r="336" ht="22" customHeight="1">
      <c r="A336" s="46">
        <f>"APP-"&amp;TEXT(ROW()-1,"000")</f>
        <v/>
      </c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  <c r="AA336" s="46" t="n"/>
      <c r="AB336" s="46">
        <f>IF(I336="","",TODAY()-I336)</f>
        <v/>
      </c>
      <c r="AC336" s="46">
        <f>IF(M336="","",M336-TODAY())</f>
        <v/>
      </c>
      <c r="AD336" s="46">
        <f>IF(B336="","",COUNTIFS('Interview Tracker'!A:A,B336))</f>
        <v/>
      </c>
      <c r="AE336" s="46" t="n"/>
      <c r="AF336" s="46" t="n"/>
      <c r="AG336" s="46" t="n"/>
    </row>
    <row r="337" ht="22" customHeight="1">
      <c r="A337" s="48">
        <f>"APP-"&amp;TEXT(ROW()-1,"000")</f>
        <v/>
      </c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  <c r="Z337" s="48" t="n"/>
      <c r="AA337" s="48" t="n"/>
      <c r="AB337" s="48">
        <f>IF(I337="","",TODAY()-I337)</f>
        <v/>
      </c>
      <c r="AC337" s="48">
        <f>IF(M337="","",M337-TODAY())</f>
        <v/>
      </c>
      <c r="AD337" s="48">
        <f>IF(B337="","",COUNTIFS('Interview Tracker'!A:A,B337))</f>
        <v/>
      </c>
      <c r="AE337" s="48" t="n"/>
      <c r="AF337" s="48" t="n"/>
      <c r="AG337" s="48" t="n"/>
    </row>
    <row r="338" ht="22" customHeight="1">
      <c r="A338" s="46">
        <f>"APP-"&amp;TEXT(ROW()-1,"000")</f>
        <v/>
      </c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  <c r="AA338" s="46" t="n"/>
      <c r="AB338" s="46">
        <f>IF(I338="","",TODAY()-I338)</f>
        <v/>
      </c>
      <c r="AC338" s="46">
        <f>IF(M338="","",M338-TODAY())</f>
        <v/>
      </c>
      <c r="AD338" s="46">
        <f>IF(B338="","",COUNTIFS('Interview Tracker'!A:A,B338))</f>
        <v/>
      </c>
      <c r="AE338" s="46" t="n"/>
      <c r="AF338" s="46" t="n"/>
      <c r="AG338" s="46" t="n"/>
    </row>
    <row r="339" ht="22" customHeight="1">
      <c r="A339" s="48">
        <f>"APP-"&amp;TEXT(ROW()-1,"000")</f>
        <v/>
      </c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  <c r="Z339" s="48" t="n"/>
      <c r="AA339" s="48" t="n"/>
      <c r="AB339" s="48">
        <f>IF(I339="","",TODAY()-I339)</f>
        <v/>
      </c>
      <c r="AC339" s="48">
        <f>IF(M339="","",M339-TODAY())</f>
        <v/>
      </c>
      <c r="AD339" s="48">
        <f>IF(B339="","",COUNTIFS('Interview Tracker'!A:A,B339))</f>
        <v/>
      </c>
      <c r="AE339" s="48" t="n"/>
      <c r="AF339" s="48" t="n"/>
      <c r="AG339" s="48" t="n"/>
    </row>
    <row r="340" ht="22" customHeight="1">
      <c r="A340" s="46">
        <f>"APP-"&amp;TEXT(ROW()-1,"000")</f>
        <v/>
      </c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  <c r="AA340" s="46" t="n"/>
      <c r="AB340" s="46">
        <f>IF(I340="","",TODAY()-I340)</f>
        <v/>
      </c>
      <c r="AC340" s="46">
        <f>IF(M340="","",M340-TODAY())</f>
        <v/>
      </c>
      <c r="AD340" s="46">
        <f>IF(B340="","",COUNTIFS('Interview Tracker'!A:A,B340))</f>
        <v/>
      </c>
      <c r="AE340" s="46" t="n"/>
      <c r="AF340" s="46" t="n"/>
      <c r="AG340" s="46" t="n"/>
    </row>
    <row r="341" ht="22" customHeight="1">
      <c r="A341" s="48">
        <f>"APP-"&amp;TEXT(ROW()-1,"000")</f>
        <v/>
      </c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  <c r="Z341" s="48" t="n"/>
      <c r="AA341" s="48" t="n"/>
      <c r="AB341" s="48">
        <f>IF(I341="","",TODAY()-I341)</f>
        <v/>
      </c>
      <c r="AC341" s="48">
        <f>IF(M341="","",M341-TODAY())</f>
        <v/>
      </c>
      <c r="AD341" s="48">
        <f>IF(B341="","",COUNTIFS('Interview Tracker'!A:A,B341))</f>
        <v/>
      </c>
      <c r="AE341" s="48" t="n"/>
      <c r="AF341" s="48" t="n"/>
      <c r="AG341" s="48" t="n"/>
    </row>
    <row r="342" ht="22" customHeight="1">
      <c r="A342" s="46">
        <f>"APP-"&amp;TEXT(ROW()-1,"000")</f>
        <v/>
      </c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  <c r="AA342" s="46" t="n"/>
      <c r="AB342" s="46">
        <f>IF(I342="","",TODAY()-I342)</f>
        <v/>
      </c>
      <c r="AC342" s="46">
        <f>IF(M342="","",M342-TODAY())</f>
        <v/>
      </c>
      <c r="AD342" s="46">
        <f>IF(B342="","",COUNTIFS('Interview Tracker'!A:A,B342))</f>
        <v/>
      </c>
      <c r="AE342" s="46" t="n"/>
      <c r="AF342" s="46" t="n"/>
      <c r="AG342" s="46" t="n"/>
    </row>
    <row r="343" ht="22" customHeight="1">
      <c r="A343" s="48">
        <f>"APP-"&amp;TEXT(ROW()-1,"000")</f>
        <v/>
      </c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  <c r="Z343" s="48" t="n"/>
      <c r="AA343" s="48" t="n"/>
      <c r="AB343" s="48">
        <f>IF(I343="","",TODAY()-I343)</f>
        <v/>
      </c>
      <c r="AC343" s="48">
        <f>IF(M343="","",M343-TODAY())</f>
        <v/>
      </c>
      <c r="AD343" s="48">
        <f>IF(B343="","",COUNTIFS('Interview Tracker'!A:A,B343))</f>
        <v/>
      </c>
      <c r="AE343" s="48" t="n"/>
      <c r="AF343" s="48" t="n"/>
      <c r="AG343" s="48" t="n"/>
    </row>
    <row r="344" ht="22" customHeight="1">
      <c r="A344" s="46">
        <f>"APP-"&amp;TEXT(ROW()-1,"000")</f>
        <v/>
      </c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  <c r="AA344" s="46" t="n"/>
      <c r="AB344" s="46">
        <f>IF(I344="","",TODAY()-I344)</f>
        <v/>
      </c>
      <c r="AC344" s="46">
        <f>IF(M344="","",M344-TODAY())</f>
        <v/>
      </c>
      <c r="AD344" s="46">
        <f>IF(B344="","",COUNTIFS('Interview Tracker'!A:A,B344))</f>
        <v/>
      </c>
      <c r="AE344" s="46" t="n"/>
      <c r="AF344" s="46" t="n"/>
      <c r="AG344" s="46" t="n"/>
    </row>
    <row r="345" ht="22" customHeight="1">
      <c r="A345" s="48">
        <f>"APP-"&amp;TEXT(ROW()-1,"000")</f>
        <v/>
      </c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  <c r="Z345" s="48" t="n"/>
      <c r="AA345" s="48" t="n"/>
      <c r="AB345" s="48">
        <f>IF(I345="","",TODAY()-I345)</f>
        <v/>
      </c>
      <c r="AC345" s="48">
        <f>IF(M345="","",M345-TODAY())</f>
        <v/>
      </c>
      <c r="AD345" s="48">
        <f>IF(B345="","",COUNTIFS('Interview Tracker'!A:A,B345))</f>
        <v/>
      </c>
      <c r="AE345" s="48" t="n"/>
      <c r="AF345" s="48" t="n"/>
      <c r="AG345" s="48" t="n"/>
    </row>
    <row r="346" ht="22" customHeight="1">
      <c r="A346" s="46">
        <f>"APP-"&amp;TEXT(ROW()-1,"000")</f>
        <v/>
      </c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  <c r="AA346" s="46" t="n"/>
      <c r="AB346" s="46">
        <f>IF(I346="","",TODAY()-I346)</f>
        <v/>
      </c>
      <c r="AC346" s="46">
        <f>IF(M346="","",M346-TODAY())</f>
        <v/>
      </c>
      <c r="AD346" s="46">
        <f>IF(B346="","",COUNTIFS('Interview Tracker'!A:A,B346))</f>
        <v/>
      </c>
      <c r="AE346" s="46" t="n"/>
      <c r="AF346" s="46" t="n"/>
      <c r="AG346" s="46" t="n"/>
    </row>
    <row r="347" ht="22" customHeight="1">
      <c r="A347" s="48">
        <f>"APP-"&amp;TEXT(ROW()-1,"000")</f>
        <v/>
      </c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  <c r="Z347" s="48" t="n"/>
      <c r="AA347" s="48" t="n"/>
      <c r="AB347" s="48">
        <f>IF(I347="","",TODAY()-I347)</f>
        <v/>
      </c>
      <c r="AC347" s="48">
        <f>IF(M347="","",M347-TODAY())</f>
        <v/>
      </c>
      <c r="AD347" s="48">
        <f>IF(B347="","",COUNTIFS('Interview Tracker'!A:A,B347))</f>
        <v/>
      </c>
      <c r="AE347" s="48" t="n"/>
      <c r="AF347" s="48" t="n"/>
      <c r="AG347" s="48" t="n"/>
    </row>
    <row r="348" ht="22" customHeight="1">
      <c r="A348" s="46">
        <f>"APP-"&amp;TEXT(ROW()-1,"000")</f>
        <v/>
      </c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  <c r="AA348" s="46" t="n"/>
      <c r="AB348" s="46">
        <f>IF(I348="","",TODAY()-I348)</f>
        <v/>
      </c>
      <c r="AC348" s="46">
        <f>IF(M348="","",M348-TODAY())</f>
        <v/>
      </c>
      <c r="AD348" s="46">
        <f>IF(B348="","",COUNTIFS('Interview Tracker'!A:A,B348))</f>
        <v/>
      </c>
      <c r="AE348" s="46" t="n"/>
      <c r="AF348" s="46" t="n"/>
      <c r="AG348" s="46" t="n"/>
    </row>
    <row r="349" ht="22" customHeight="1">
      <c r="A349" s="48">
        <f>"APP-"&amp;TEXT(ROW()-1,"000")</f>
        <v/>
      </c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  <c r="Z349" s="48" t="n"/>
      <c r="AA349" s="48" t="n"/>
      <c r="AB349" s="48">
        <f>IF(I349="","",TODAY()-I349)</f>
        <v/>
      </c>
      <c r="AC349" s="48">
        <f>IF(M349="","",M349-TODAY())</f>
        <v/>
      </c>
      <c r="AD349" s="48">
        <f>IF(B349="","",COUNTIFS('Interview Tracker'!A:A,B349))</f>
        <v/>
      </c>
      <c r="AE349" s="48" t="n"/>
      <c r="AF349" s="48" t="n"/>
      <c r="AG349" s="48" t="n"/>
    </row>
    <row r="350" ht="22" customHeight="1">
      <c r="A350" s="46">
        <f>"APP-"&amp;TEXT(ROW()-1,"000")</f>
        <v/>
      </c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  <c r="AA350" s="46" t="n"/>
      <c r="AB350" s="46">
        <f>IF(I350="","",TODAY()-I350)</f>
        <v/>
      </c>
      <c r="AC350" s="46">
        <f>IF(M350="","",M350-TODAY())</f>
        <v/>
      </c>
      <c r="AD350" s="46">
        <f>IF(B350="","",COUNTIFS('Interview Tracker'!A:A,B350))</f>
        <v/>
      </c>
      <c r="AE350" s="46" t="n"/>
      <c r="AF350" s="46" t="n"/>
      <c r="AG350" s="46" t="n"/>
    </row>
    <row r="351" ht="22" customHeight="1">
      <c r="A351" s="48">
        <f>"APP-"&amp;TEXT(ROW()-1,"000")</f>
        <v/>
      </c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  <c r="Z351" s="48" t="n"/>
      <c r="AA351" s="48" t="n"/>
      <c r="AB351" s="48">
        <f>IF(I351="","",TODAY()-I351)</f>
        <v/>
      </c>
      <c r="AC351" s="48">
        <f>IF(M351="","",M351-TODAY())</f>
        <v/>
      </c>
      <c r="AD351" s="48">
        <f>IF(B351="","",COUNTIFS('Interview Tracker'!A:A,B351))</f>
        <v/>
      </c>
      <c r="AE351" s="48" t="n"/>
      <c r="AF351" s="48" t="n"/>
      <c r="AG351" s="48" t="n"/>
    </row>
    <row r="352" ht="22" customHeight="1">
      <c r="A352" s="46">
        <f>"APP-"&amp;TEXT(ROW()-1,"000")</f>
        <v/>
      </c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  <c r="AA352" s="46" t="n"/>
      <c r="AB352" s="46">
        <f>IF(I352="","",TODAY()-I352)</f>
        <v/>
      </c>
      <c r="AC352" s="46">
        <f>IF(M352="","",M352-TODAY())</f>
        <v/>
      </c>
      <c r="AD352" s="46">
        <f>IF(B352="","",COUNTIFS('Interview Tracker'!A:A,B352))</f>
        <v/>
      </c>
      <c r="AE352" s="46" t="n"/>
      <c r="AF352" s="46" t="n"/>
      <c r="AG352" s="46" t="n"/>
    </row>
    <row r="353" ht="22" customHeight="1">
      <c r="A353" s="48">
        <f>"APP-"&amp;TEXT(ROW()-1,"000")</f>
        <v/>
      </c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  <c r="Z353" s="48" t="n"/>
      <c r="AA353" s="48" t="n"/>
      <c r="AB353" s="48">
        <f>IF(I353="","",TODAY()-I353)</f>
        <v/>
      </c>
      <c r="AC353" s="48">
        <f>IF(M353="","",M353-TODAY())</f>
        <v/>
      </c>
      <c r="AD353" s="48">
        <f>IF(B353="","",COUNTIFS('Interview Tracker'!A:A,B353))</f>
        <v/>
      </c>
      <c r="AE353" s="48" t="n"/>
      <c r="AF353" s="48" t="n"/>
      <c r="AG353" s="48" t="n"/>
    </row>
    <row r="354" ht="22" customHeight="1">
      <c r="A354" s="46">
        <f>"APP-"&amp;TEXT(ROW()-1,"000")</f>
        <v/>
      </c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  <c r="AA354" s="46" t="n"/>
      <c r="AB354" s="46">
        <f>IF(I354="","",TODAY()-I354)</f>
        <v/>
      </c>
      <c r="AC354" s="46">
        <f>IF(M354="","",M354-TODAY())</f>
        <v/>
      </c>
      <c r="AD354" s="46">
        <f>IF(B354="","",COUNTIFS('Interview Tracker'!A:A,B354))</f>
        <v/>
      </c>
      <c r="AE354" s="46" t="n"/>
      <c r="AF354" s="46" t="n"/>
      <c r="AG354" s="46" t="n"/>
    </row>
    <row r="355" ht="22" customHeight="1">
      <c r="A355" s="48">
        <f>"APP-"&amp;TEXT(ROW()-1,"000")</f>
        <v/>
      </c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  <c r="Z355" s="48" t="n"/>
      <c r="AA355" s="48" t="n"/>
      <c r="AB355" s="48">
        <f>IF(I355="","",TODAY()-I355)</f>
        <v/>
      </c>
      <c r="AC355" s="48">
        <f>IF(M355="","",M355-TODAY())</f>
        <v/>
      </c>
      <c r="AD355" s="48">
        <f>IF(B355="","",COUNTIFS('Interview Tracker'!A:A,B355))</f>
        <v/>
      </c>
      <c r="AE355" s="48" t="n"/>
      <c r="AF355" s="48" t="n"/>
      <c r="AG355" s="48" t="n"/>
    </row>
    <row r="356" ht="22" customHeight="1">
      <c r="A356" s="46">
        <f>"APP-"&amp;TEXT(ROW()-1,"000")</f>
        <v/>
      </c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  <c r="AA356" s="46" t="n"/>
      <c r="AB356" s="46">
        <f>IF(I356="","",TODAY()-I356)</f>
        <v/>
      </c>
      <c r="AC356" s="46">
        <f>IF(M356="","",M356-TODAY())</f>
        <v/>
      </c>
      <c r="AD356" s="46">
        <f>IF(B356="","",COUNTIFS('Interview Tracker'!A:A,B356))</f>
        <v/>
      </c>
      <c r="AE356" s="46" t="n"/>
      <c r="AF356" s="46" t="n"/>
      <c r="AG356" s="46" t="n"/>
    </row>
    <row r="357" ht="22" customHeight="1">
      <c r="A357" s="48">
        <f>"APP-"&amp;TEXT(ROW()-1,"000")</f>
        <v/>
      </c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  <c r="Z357" s="48" t="n"/>
      <c r="AA357" s="48" t="n"/>
      <c r="AB357" s="48">
        <f>IF(I357="","",TODAY()-I357)</f>
        <v/>
      </c>
      <c r="AC357" s="48">
        <f>IF(M357="","",M357-TODAY())</f>
        <v/>
      </c>
      <c r="AD357" s="48">
        <f>IF(B357="","",COUNTIFS('Interview Tracker'!A:A,B357))</f>
        <v/>
      </c>
      <c r="AE357" s="48" t="n"/>
      <c r="AF357" s="48" t="n"/>
      <c r="AG357" s="48" t="n"/>
    </row>
    <row r="358" ht="22" customHeight="1">
      <c r="A358" s="46">
        <f>"APP-"&amp;TEXT(ROW()-1,"000")</f>
        <v/>
      </c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  <c r="AA358" s="46" t="n"/>
      <c r="AB358" s="46">
        <f>IF(I358="","",TODAY()-I358)</f>
        <v/>
      </c>
      <c r="AC358" s="46">
        <f>IF(M358="","",M358-TODAY())</f>
        <v/>
      </c>
      <c r="AD358" s="46">
        <f>IF(B358="","",COUNTIFS('Interview Tracker'!A:A,B358))</f>
        <v/>
      </c>
      <c r="AE358" s="46" t="n"/>
      <c r="AF358" s="46" t="n"/>
      <c r="AG358" s="46" t="n"/>
    </row>
    <row r="359" ht="22" customHeight="1">
      <c r="A359" s="48">
        <f>"APP-"&amp;TEXT(ROW()-1,"000")</f>
        <v/>
      </c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  <c r="Z359" s="48" t="n"/>
      <c r="AA359" s="48" t="n"/>
      <c r="AB359" s="48">
        <f>IF(I359="","",TODAY()-I359)</f>
        <v/>
      </c>
      <c r="AC359" s="48">
        <f>IF(M359="","",M359-TODAY())</f>
        <v/>
      </c>
      <c r="AD359" s="48">
        <f>IF(B359="","",COUNTIFS('Interview Tracker'!A:A,B359))</f>
        <v/>
      </c>
      <c r="AE359" s="48" t="n"/>
      <c r="AF359" s="48" t="n"/>
      <c r="AG359" s="48" t="n"/>
    </row>
    <row r="360" ht="22" customHeight="1">
      <c r="A360" s="46">
        <f>"APP-"&amp;TEXT(ROW()-1,"000")</f>
        <v/>
      </c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  <c r="AA360" s="46" t="n"/>
      <c r="AB360" s="46">
        <f>IF(I360="","",TODAY()-I360)</f>
        <v/>
      </c>
      <c r="AC360" s="46">
        <f>IF(M360="","",M360-TODAY())</f>
        <v/>
      </c>
      <c r="AD360" s="46">
        <f>IF(B360="","",COUNTIFS('Interview Tracker'!A:A,B360))</f>
        <v/>
      </c>
      <c r="AE360" s="46" t="n"/>
      <c r="AF360" s="46" t="n"/>
      <c r="AG360" s="46" t="n"/>
    </row>
    <row r="361" ht="22" customHeight="1">
      <c r="A361" s="48">
        <f>"APP-"&amp;TEXT(ROW()-1,"000")</f>
        <v/>
      </c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  <c r="Z361" s="48" t="n"/>
      <c r="AA361" s="48" t="n"/>
      <c r="AB361" s="48">
        <f>IF(I361="","",TODAY()-I361)</f>
        <v/>
      </c>
      <c r="AC361" s="48">
        <f>IF(M361="","",M361-TODAY())</f>
        <v/>
      </c>
      <c r="AD361" s="48">
        <f>IF(B361="","",COUNTIFS('Interview Tracker'!A:A,B361))</f>
        <v/>
      </c>
      <c r="AE361" s="48" t="n"/>
      <c r="AF361" s="48" t="n"/>
      <c r="AG361" s="48" t="n"/>
    </row>
    <row r="362" ht="22" customHeight="1">
      <c r="A362" s="46">
        <f>"APP-"&amp;TEXT(ROW()-1,"000")</f>
        <v/>
      </c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  <c r="AA362" s="46" t="n"/>
      <c r="AB362" s="46">
        <f>IF(I362="","",TODAY()-I362)</f>
        <v/>
      </c>
      <c r="AC362" s="46">
        <f>IF(M362="","",M362-TODAY())</f>
        <v/>
      </c>
      <c r="AD362" s="46">
        <f>IF(B362="","",COUNTIFS('Interview Tracker'!A:A,B362))</f>
        <v/>
      </c>
      <c r="AE362" s="46" t="n"/>
      <c r="AF362" s="46" t="n"/>
      <c r="AG362" s="46" t="n"/>
    </row>
    <row r="363" ht="22" customHeight="1">
      <c r="A363" s="48">
        <f>"APP-"&amp;TEXT(ROW()-1,"000")</f>
        <v/>
      </c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  <c r="Z363" s="48" t="n"/>
      <c r="AA363" s="48" t="n"/>
      <c r="AB363" s="48">
        <f>IF(I363="","",TODAY()-I363)</f>
        <v/>
      </c>
      <c r="AC363" s="48">
        <f>IF(M363="","",M363-TODAY())</f>
        <v/>
      </c>
      <c r="AD363" s="48">
        <f>IF(B363="","",COUNTIFS('Interview Tracker'!A:A,B363))</f>
        <v/>
      </c>
      <c r="AE363" s="48" t="n"/>
      <c r="AF363" s="48" t="n"/>
      <c r="AG363" s="48" t="n"/>
    </row>
    <row r="364" ht="22" customHeight="1">
      <c r="A364" s="46">
        <f>"APP-"&amp;TEXT(ROW()-1,"000")</f>
        <v/>
      </c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  <c r="AA364" s="46" t="n"/>
      <c r="AB364" s="46">
        <f>IF(I364="","",TODAY()-I364)</f>
        <v/>
      </c>
      <c r="AC364" s="46">
        <f>IF(M364="","",M364-TODAY())</f>
        <v/>
      </c>
      <c r="AD364" s="46">
        <f>IF(B364="","",COUNTIFS('Interview Tracker'!A:A,B364))</f>
        <v/>
      </c>
      <c r="AE364" s="46" t="n"/>
      <c r="AF364" s="46" t="n"/>
      <c r="AG364" s="46" t="n"/>
    </row>
    <row r="365" ht="22" customHeight="1">
      <c r="A365" s="48">
        <f>"APP-"&amp;TEXT(ROW()-1,"000")</f>
        <v/>
      </c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  <c r="Z365" s="48" t="n"/>
      <c r="AA365" s="48" t="n"/>
      <c r="AB365" s="48">
        <f>IF(I365="","",TODAY()-I365)</f>
        <v/>
      </c>
      <c r="AC365" s="48">
        <f>IF(M365="","",M365-TODAY())</f>
        <v/>
      </c>
      <c r="AD365" s="48">
        <f>IF(B365="","",COUNTIFS('Interview Tracker'!A:A,B365))</f>
        <v/>
      </c>
      <c r="AE365" s="48" t="n"/>
      <c r="AF365" s="48" t="n"/>
      <c r="AG365" s="48" t="n"/>
    </row>
    <row r="366" ht="22" customHeight="1">
      <c r="A366" s="46">
        <f>"APP-"&amp;TEXT(ROW()-1,"000")</f>
        <v/>
      </c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  <c r="AA366" s="46" t="n"/>
      <c r="AB366" s="46">
        <f>IF(I366="","",TODAY()-I366)</f>
        <v/>
      </c>
      <c r="AC366" s="46">
        <f>IF(M366="","",M366-TODAY())</f>
        <v/>
      </c>
      <c r="AD366" s="46">
        <f>IF(B366="","",COUNTIFS('Interview Tracker'!A:A,B366))</f>
        <v/>
      </c>
      <c r="AE366" s="46" t="n"/>
      <c r="AF366" s="46" t="n"/>
      <c r="AG366" s="46" t="n"/>
    </row>
    <row r="367" ht="22" customHeight="1">
      <c r="A367" s="48">
        <f>"APP-"&amp;TEXT(ROW()-1,"000")</f>
        <v/>
      </c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  <c r="Z367" s="48" t="n"/>
      <c r="AA367" s="48" t="n"/>
      <c r="AB367" s="48">
        <f>IF(I367="","",TODAY()-I367)</f>
        <v/>
      </c>
      <c r="AC367" s="48">
        <f>IF(M367="","",M367-TODAY())</f>
        <v/>
      </c>
      <c r="AD367" s="48">
        <f>IF(B367="","",COUNTIFS('Interview Tracker'!A:A,B367))</f>
        <v/>
      </c>
      <c r="AE367" s="48" t="n"/>
      <c r="AF367" s="48" t="n"/>
      <c r="AG367" s="48" t="n"/>
    </row>
    <row r="368" ht="22" customHeight="1">
      <c r="A368" s="46">
        <f>"APP-"&amp;TEXT(ROW()-1,"000")</f>
        <v/>
      </c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  <c r="AA368" s="46" t="n"/>
      <c r="AB368" s="46">
        <f>IF(I368="","",TODAY()-I368)</f>
        <v/>
      </c>
      <c r="AC368" s="46">
        <f>IF(M368="","",M368-TODAY())</f>
        <v/>
      </c>
      <c r="AD368" s="46">
        <f>IF(B368="","",COUNTIFS('Interview Tracker'!A:A,B368))</f>
        <v/>
      </c>
      <c r="AE368" s="46" t="n"/>
      <c r="AF368" s="46" t="n"/>
      <c r="AG368" s="46" t="n"/>
    </row>
    <row r="369" ht="22" customHeight="1">
      <c r="A369" s="48">
        <f>"APP-"&amp;TEXT(ROW()-1,"000")</f>
        <v/>
      </c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  <c r="Z369" s="48" t="n"/>
      <c r="AA369" s="48" t="n"/>
      <c r="AB369" s="48">
        <f>IF(I369="","",TODAY()-I369)</f>
        <v/>
      </c>
      <c r="AC369" s="48">
        <f>IF(M369="","",M369-TODAY())</f>
        <v/>
      </c>
      <c r="AD369" s="48">
        <f>IF(B369="","",COUNTIFS('Interview Tracker'!A:A,B369))</f>
        <v/>
      </c>
      <c r="AE369" s="48" t="n"/>
      <c r="AF369" s="48" t="n"/>
      <c r="AG369" s="48" t="n"/>
    </row>
    <row r="370" ht="22" customHeight="1">
      <c r="A370" s="46">
        <f>"APP-"&amp;TEXT(ROW()-1,"000")</f>
        <v/>
      </c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  <c r="AA370" s="46" t="n"/>
      <c r="AB370" s="46">
        <f>IF(I370="","",TODAY()-I370)</f>
        <v/>
      </c>
      <c r="AC370" s="46">
        <f>IF(M370="","",M370-TODAY())</f>
        <v/>
      </c>
      <c r="AD370" s="46">
        <f>IF(B370="","",COUNTIFS('Interview Tracker'!A:A,B370))</f>
        <v/>
      </c>
      <c r="AE370" s="46" t="n"/>
      <c r="AF370" s="46" t="n"/>
      <c r="AG370" s="46" t="n"/>
    </row>
    <row r="371" ht="22" customHeight="1">
      <c r="A371" s="48">
        <f>"APP-"&amp;TEXT(ROW()-1,"000")</f>
        <v/>
      </c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  <c r="Z371" s="48" t="n"/>
      <c r="AA371" s="48" t="n"/>
      <c r="AB371" s="48">
        <f>IF(I371="","",TODAY()-I371)</f>
        <v/>
      </c>
      <c r="AC371" s="48">
        <f>IF(M371="","",M371-TODAY())</f>
        <v/>
      </c>
      <c r="AD371" s="48">
        <f>IF(B371="","",COUNTIFS('Interview Tracker'!A:A,B371))</f>
        <v/>
      </c>
      <c r="AE371" s="48" t="n"/>
      <c r="AF371" s="48" t="n"/>
      <c r="AG371" s="48" t="n"/>
    </row>
    <row r="372" ht="22" customHeight="1">
      <c r="A372" s="46">
        <f>"APP-"&amp;TEXT(ROW()-1,"000")</f>
        <v/>
      </c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  <c r="AA372" s="46" t="n"/>
      <c r="AB372" s="46">
        <f>IF(I372="","",TODAY()-I372)</f>
        <v/>
      </c>
      <c r="AC372" s="46">
        <f>IF(M372="","",M372-TODAY())</f>
        <v/>
      </c>
      <c r="AD372" s="46">
        <f>IF(B372="","",COUNTIFS('Interview Tracker'!A:A,B372))</f>
        <v/>
      </c>
      <c r="AE372" s="46" t="n"/>
      <c r="AF372" s="46" t="n"/>
      <c r="AG372" s="46" t="n"/>
    </row>
    <row r="373" ht="22" customHeight="1">
      <c r="A373" s="48">
        <f>"APP-"&amp;TEXT(ROW()-1,"000")</f>
        <v/>
      </c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  <c r="Z373" s="48" t="n"/>
      <c r="AA373" s="48" t="n"/>
      <c r="AB373" s="48">
        <f>IF(I373="","",TODAY()-I373)</f>
        <v/>
      </c>
      <c r="AC373" s="48">
        <f>IF(M373="","",M373-TODAY())</f>
        <v/>
      </c>
      <c r="AD373" s="48">
        <f>IF(B373="","",COUNTIFS('Interview Tracker'!A:A,B373))</f>
        <v/>
      </c>
      <c r="AE373" s="48" t="n"/>
      <c r="AF373" s="48" t="n"/>
      <c r="AG373" s="48" t="n"/>
    </row>
    <row r="374" ht="22" customHeight="1">
      <c r="A374" s="46">
        <f>"APP-"&amp;TEXT(ROW()-1,"000")</f>
        <v/>
      </c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  <c r="AA374" s="46" t="n"/>
      <c r="AB374" s="46">
        <f>IF(I374="","",TODAY()-I374)</f>
        <v/>
      </c>
      <c r="AC374" s="46">
        <f>IF(M374="","",M374-TODAY())</f>
        <v/>
      </c>
      <c r="AD374" s="46">
        <f>IF(B374="","",COUNTIFS('Interview Tracker'!A:A,B374))</f>
        <v/>
      </c>
      <c r="AE374" s="46" t="n"/>
      <c r="AF374" s="46" t="n"/>
      <c r="AG374" s="46" t="n"/>
    </row>
    <row r="375" ht="22" customHeight="1">
      <c r="A375" s="48">
        <f>"APP-"&amp;TEXT(ROW()-1,"000")</f>
        <v/>
      </c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  <c r="Z375" s="48" t="n"/>
      <c r="AA375" s="48" t="n"/>
      <c r="AB375" s="48">
        <f>IF(I375="","",TODAY()-I375)</f>
        <v/>
      </c>
      <c r="AC375" s="48">
        <f>IF(M375="","",M375-TODAY())</f>
        <v/>
      </c>
      <c r="AD375" s="48">
        <f>IF(B375="","",COUNTIFS('Interview Tracker'!A:A,B375))</f>
        <v/>
      </c>
      <c r="AE375" s="48" t="n"/>
      <c r="AF375" s="48" t="n"/>
      <c r="AG375" s="48" t="n"/>
    </row>
    <row r="376" ht="22" customHeight="1">
      <c r="A376" s="46">
        <f>"APP-"&amp;TEXT(ROW()-1,"000")</f>
        <v/>
      </c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  <c r="AA376" s="46" t="n"/>
      <c r="AB376" s="46">
        <f>IF(I376="","",TODAY()-I376)</f>
        <v/>
      </c>
      <c r="AC376" s="46">
        <f>IF(M376="","",M376-TODAY())</f>
        <v/>
      </c>
      <c r="AD376" s="46">
        <f>IF(B376="","",COUNTIFS('Interview Tracker'!A:A,B376))</f>
        <v/>
      </c>
      <c r="AE376" s="46" t="n"/>
      <c r="AF376" s="46" t="n"/>
      <c r="AG376" s="46" t="n"/>
    </row>
    <row r="377" ht="22" customHeight="1">
      <c r="A377" s="48">
        <f>"APP-"&amp;TEXT(ROW()-1,"000")</f>
        <v/>
      </c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  <c r="Z377" s="48" t="n"/>
      <c r="AA377" s="48" t="n"/>
      <c r="AB377" s="48">
        <f>IF(I377="","",TODAY()-I377)</f>
        <v/>
      </c>
      <c r="AC377" s="48">
        <f>IF(M377="","",M377-TODAY())</f>
        <v/>
      </c>
      <c r="AD377" s="48">
        <f>IF(B377="","",COUNTIFS('Interview Tracker'!A:A,B377))</f>
        <v/>
      </c>
      <c r="AE377" s="48" t="n"/>
      <c r="AF377" s="48" t="n"/>
      <c r="AG377" s="48" t="n"/>
    </row>
    <row r="378" ht="22" customHeight="1">
      <c r="A378" s="46">
        <f>"APP-"&amp;TEXT(ROW()-1,"000")</f>
        <v/>
      </c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  <c r="AA378" s="46" t="n"/>
      <c r="AB378" s="46">
        <f>IF(I378="","",TODAY()-I378)</f>
        <v/>
      </c>
      <c r="AC378" s="46">
        <f>IF(M378="","",M378-TODAY())</f>
        <v/>
      </c>
      <c r="AD378" s="46">
        <f>IF(B378="","",COUNTIFS('Interview Tracker'!A:A,B378))</f>
        <v/>
      </c>
      <c r="AE378" s="46" t="n"/>
      <c r="AF378" s="46" t="n"/>
      <c r="AG378" s="46" t="n"/>
    </row>
    <row r="379" ht="22" customHeight="1">
      <c r="A379" s="48">
        <f>"APP-"&amp;TEXT(ROW()-1,"000")</f>
        <v/>
      </c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  <c r="Z379" s="48" t="n"/>
      <c r="AA379" s="48" t="n"/>
      <c r="AB379" s="48">
        <f>IF(I379="","",TODAY()-I379)</f>
        <v/>
      </c>
      <c r="AC379" s="48">
        <f>IF(M379="","",M379-TODAY())</f>
        <v/>
      </c>
      <c r="AD379" s="48">
        <f>IF(B379="","",COUNTIFS('Interview Tracker'!A:A,B379))</f>
        <v/>
      </c>
      <c r="AE379" s="48" t="n"/>
      <c r="AF379" s="48" t="n"/>
      <c r="AG379" s="48" t="n"/>
    </row>
    <row r="380" ht="22" customHeight="1">
      <c r="A380" s="46">
        <f>"APP-"&amp;TEXT(ROW()-1,"000")</f>
        <v/>
      </c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  <c r="AA380" s="46" t="n"/>
      <c r="AB380" s="46">
        <f>IF(I380="","",TODAY()-I380)</f>
        <v/>
      </c>
      <c r="AC380" s="46">
        <f>IF(M380="","",M380-TODAY())</f>
        <v/>
      </c>
      <c r="AD380" s="46">
        <f>IF(B380="","",COUNTIFS('Interview Tracker'!A:A,B380))</f>
        <v/>
      </c>
      <c r="AE380" s="46" t="n"/>
      <c r="AF380" s="46" t="n"/>
      <c r="AG380" s="46" t="n"/>
    </row>
    <row r="381" ht="22" customHeight="1">
      <c r="A381" s="48">
        <f>"APP-"&amp;TEXT(ROW()-1,"000")</f>
        <v/>
      </c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  <c r="Z381" s="48" t="n"/>
      <c r="AA381" s="48" t="n"/>
      <c r="AB381" s="48">
        <f>IF(I381="","",TODAY()-I381)</f>
        <v/>
      </c>
      <c r="AC381" s="48">
        <f>IF(M381="","",M381-TODAY())</f>
        <v/>
      </c>
      <c r="AD381" s="48">
        <f>IF(B381="","",COUNTIFS('Interview Tracker'!A:A,B381))</f>
        <v/>
      </c>
      <c r="AE381" s="48" t="n"/>
      <c r="AF381" s="48" t="n"/>
      <c r="AG381" s="48" t="n"/>
    </row>
    <row r="382" ht="22" customHeight="1">
      <c r="A382" s="46">
        <f>"APP-"&amp;TEXT(ROW()-1,"000")</f>
        <v/>
      </c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  <c r="AA382" s="46" t="n"/>
      <c r="AB382" s="46">
        <f>IF(I382="","",TODAY()-I382)</f>
        <v/>
      </c>
      <c r="AC382" s="46">
        <f>IF(M382="","",M382-TODAY())</f>
        <v/>
      </c>
      <c r="AD382" s="46">
        <f>IF(B382="","",COUNTIFS('Interview Tracker'!A:A,B382))</f>
        <v/>
      </c>
      <c r="AE382" s="46" t="n"/>
      <c r="AF382" s="46" t="n"/>
      <c r="AG382" s="46" t="n"/>
    </row>
    <row r="383" ht="22" customHeight="1">
      <c r="A383" s="48">
        <f>"APP-"&amp;TEXT(ROW()-1,"000")</f>
        <v/>
      </c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  <c r="Z383" s="48" t="n"/>
      <c r="AA383" s="48" t="n"/>
      <c r="AB383" s="48">
        <f>IF(I383="","",TODAY()-I383)</f>
        <v/>
      </c>
      <c r="AC383" s="48">
        <f>IF(M383="","",M383-TODAY())</f>
        <v/>
      </c>
      <c r="AD383" s="48">
        <f>IF(B383="","",COUNTIFS('Interview Tracker'!A:A,B383))</f>
        <v/>
      </c>
      <c r="AE383" s="48" t="n"/>
      <c r="AF383" s="48" t="n"/>
      <c r="AG383" s="48" t="n"/>
    </row>
    <row r="384" ht="22" customHeight="1">
      <c r="A384" s="46">
        <f>"APP-"&amp;TEXT(ROW()-1,"000")</f>
        <v/>
      </c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  <c r="AA384" s="46" t="n"/>
      <c r="AB384" s="46">
        <f>IF(I384="","",TODAY()-I384)</f>
        <v/>
      </c>
      <c r="AC384" s="46">
        <f>IF(M384="","",M384-TODAY())</f>
        <v/>
      </c>
      <c r="AD384" s="46">
        <f>IF(B384="","",COUNTIFS('Interview Tracker'!A:A,B384))</f>
        <v/>
      </c>
      <c r="AE384" s="46" t="n"/>
      <c r="AF384" s="46" t="n"/>
      <c r="AG384" s="46" t="n"/>
    </row>
    <row r="385" ht="22" customHeight="1">
      <c r="A385" s="48">
        <f>"APP-"&amp;TEXT(ROW()-1,"000")</f>
        <v/>
      </c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  <c r="Z385" s="48" t="n"/>
      <c r="AA385" s="48" t="n"/>
      <c r="AB385" s="48">
        <f>IF(I385="","",TODAY()-I385)</f>
        <v/>
      </c>
      <c r="AC385" s="48">
        <f>IF(M385="","",M385-TODAY())</f>
        <v/>
      </c>
      <c r="AD385" s="48">
        <f>IF(B385="","",COUNTIFS('Interview Tracker'!A:A,B385))</f>
        <v/>
      </c>
      <c r="AE385" s="48" t="n"/>
      <c r="AF385" s="48" t="n"/>
      <c r="AG385" s="48" t="n"/>
    </row>
    <row r="386" ht="22" customHeight="1">
      <c r="A386" s="46">
        <f>"APP-"&amp;TEXT(ROW()-1,"000")</f>
        <v/>
      </c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  <c r="AA386" s="46" t="n"/>
      <c r="AB386" s="46">
        <f>IF(I386="","",TODAY()-I386)</f>
        <v/>
      </c>
      <c r="AC386" s="46">
        <f>IF(M386="","",M386-TODAY())</f>
        <v/>
      </c>
      <c r="AD386" s="46">
        <f>IF(B386="","",COUNTIFS('Interview Tracker'!A:A,B386))</f>
        <v/>
      </c>
      <c r="AE386" s="46" t="n"/>
      <c r="AF386" s="46" t="n"/>
      <c r="AG386" s="46" t="n"/>
    </row>
    <row r="387" ht="22" customHeight="1">
      <c r="A387" s="48">
        <f>"APP-"&amp;TEXT(ROW()-1,"000")</f>
        <v/>
      </c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  <c r="Z387" s="48" t="n"/>
      <c r="AA387" s="48" t="n"/>
      <c r="AB387" s="48">
        <f>IF(I387="","",TODAY()-I387)</f>
        <v/>
      </c>
      <c r="AC387" s="48">
        <f>IF(M387="","",M387-TODAY())</f>
        <v/>
      </c>
      <c r="AD387" s="48">
        <f>IF(B387="","",COUNTIFS('Interview Tracker'!A:A,B387))</f>
        <v/>
      </c>
      <c r="AE387" s="48" t="n"/>
      <c r="AF387" s="48" t="n"/>
      <c r="AG387" s="48" t="n"/>
    </row>
    <row r="388" ht="22" customHeight="1">
      <c r="A388" s="46">
        <f>"APP-"&amp;TEXT(ROW()-1,"000")</f>
        <v/>
      </c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  <c r="AA388" s="46" t="n"/>
      <c r="AB388" s="46">
        <f>IF(I388="","",TODAY()-I388)</f>
        <v/>
      </c>
      <c r="AC388" s="46">
        <f>IF(M388="","",M388-TODAY())</f>
        <v/>
      </c>
      <c r="AD388" s="46">
        <f>IF(B388="","",COUNTIFS('Interview Tracker'!A:A,B388))</f>
        <v/>
      </c>
      <c r="AE388" s="46" t="n"/>
      <c r="AF388" s="46" t="n"/>
      <c r="AG388" s="46" t="n"/>
    </row>
    <row r="389" ht="22" customHeight="1">
      <c r="A389" s="48">
        <f>"APP-"&amp;TEXT(ROW()-1,"000")</f>
        <v/>
      </c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  <c r="Z389" s="48" t="n"/>
      <c r="AA389" s="48" t="n"/>
      <c r="AB389" s="48">
        <f>IF(I389="","",TODAY()-I389)</f>
        <v/>
      </c>
      <c r="AC389" s="48">
        <f>IF(M389="","",M389-TODAY())</f>
        <v/>
      </c>
      <c r="AD389" s="48">
        <f>IF(B389="","",COUNTIFS('Interview Tracker'!A:A,B389))</f>
        <v/>
      </c>
      <c r="AE389" s="48" t="n"/>
      <c r="AF389" s="48" t="n"/>
      <c r="AG389" s="48" t="n"/>
    </row>
    <row r="390" ht="22" customHeight="1">
      <c r="A390" s="46">
        <f>"APP-"&amp;TEXT(ROW()-1,"000")</f>
        <v/>
      </c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  <c r="AA390" s="46" t="n"/>
      <c r="AB390" s="46">
        <f>IF(I390="","",TODAY()-I390)</f>
        <v/>
      </c>
      <c r="AC390" s="46">
        <f>IF(M390="","",M390-TODAY())</f>
        <v/>
      </c>
      <c r="AD390" s="46">
        <f>IF(B390="","",COUNTIFS('Interview Tracker'!A:A,B390))</f>
        <v/>
      </c>
      <c r="AE390" s="46" t="n"/>
      <c r="AF390" s="46" t="n"/>
      <c r="AG390" s="46" t="n"/>
    </row>
    <row r="391" ht="22" customHeight="1">
      <c r="A391" s="48">
        <f>"APP-"&amp;TEXT(ROW()-1,"000")</f>
        <v/>
      </c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  <c r="Z391" s="48" t="n"/>
      <c r="AA391" s="48" t="n"/>
      <c r="AB391" s="48">
        <f>IF(I391="","",TODAY()-I391)</f>
        <v/>
      </c>
      <c r="AC391" s="48">
        <f>IF(M391="","",M391-TODAY())</f>
        <v/>
      </c>
      <c r="AD391" s="48">
        <f>IF(B391="","",COUNTIFS('Interview Tracker'!A:A,B391))</f>
        <v/>
      </c>
      <c r="AE391" s="48" t="n"/>
      <c r="AF391" s="48" t="n"/>
      <c r="AG391" s="48" t="n"/>
    </row>
    <row r="392" ht="22" customHeight="1">
      <c r="A392" s="46">
        <f>"APP-"&amp;TEXT(ROW()-1,"000")</f>
        <v/>
      </c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  <c r="AA392" s="46" t="n"/>
      <c r="AB392" s="46">
        <f>IF(I392="","",TODAY()-I392)</f>
        <v/>
      </c>
      <c r="AC392" s="46">
        <f>IF(M392="","",M392-TODAY())</f>
        <v/>
      </c>
      <c r="AD392" s="46">
        <f>IF(B392="","",COUNTIFS('Interview Tracker'!A:A,B392))</f>
        <v/>
      </c>
      <c r="AE392" s="46" t="n"/>
      <c r="AF392" s="46" t="n"/>
      <c r="AG392" s="46" t="n"/>
    </row>
    <row r="393" ht="22" customHeight="1">
      <c r="A393" s="48">
        <f>"APP-"&amp;TEXT(ROW()-1,"000")</f>
        <v/>
      </c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  <c r="Z393" s="48" t="n"/>
      <c r="AA393" s="48" t="n"/>
      <c r="AB393" s="48">
        <f>IF(I393="","",TODAY()-I393)</f>
        <v/>
      </c>
      <c r="AC393" s="48">
        <f>IF(M393="","",M393-TODAY())</f>
        <v/>
      </c>
      <c r="AD393" s="48">
        <f>IF(B393="","",COUNTIFS('Interview Tracker'!A:A,B393))</f>
        <v/>
      </c>
      <c r="AE393" s="48" t="n"/>
      <c r="AF393" s="48" t="n"/>
      <c r="AG393" s="48" t="n"/>
    </row>
    <row r="394" ht="22" customHeight="1">
      <c r="A394" s="46">
        <f>"APP-"&amp;TEXT(ROW()-1,"000")</f>
        <v/>
      </c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  <c r="AA394" s="46" t="n"/>
      <c r="AB394" s="46">
        <f>IF(I394="","",TODAY()-I394)</f>
        <v/>
      </c>
      <c r="AC394" s="46">
        <f>IF(M394="","",M394-TODAY())</f>
        <v/>
      </c>
      <c r="AD394" s="46">
        <f>IF(B394="","",COUNTIFS('Interview Tracker'!A:A,B394))</f>
        <v/>
      </c>
      <c r="AE394" s="46" t="n"/>
      <c r="AF394" s="46" t="n"/>
      <c r="AG394" s="46" t="n"/>
    </row>
    <row r="395" ht="22" customHeight="1">
      <c r="A395" s="48">
        <f>"APP-"&amp;TEXT(ROW()-1,"000")</f>
        <v/>
      </c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  <c r="Z395" s="48" t="n"/>
      <c r="AA395" s="48" t="n"/>
      <c r="AB395" s="48">
        <f>IF(I395="","",TODAY()-I395)</f>
        <v/>
      </c>
      <c r="AC395" s="48">
        <f>IF(M395="","",M395-TODAY())</f>
        <v/>
      </c>
      <c r="AD395" s="48">
        <f>IF(B395="","",COUNTIFS('Interview Tracker'!A:A,B395))</f>
        <v/>
      </c>
      <c r="AE395" s="48" t="n"/>
      <c r="AF395" s="48" t="n"/>
      <c r="AG395" s="48" t="n"/>
    </row>
    <row r="396" ht="22" customHeight="1">
      <c r="A396" s="46">
        <f>"APP-"&amp;TEXT(ROW()-1,"000")</f>
        <v/>
      </c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  <c r="AA396" s="46" t="n"/>
      <c r="AB396" s="46">
        <f>IF(I396="","",TODAY()-I396)</f>
        <v/>
      </c>
      <c r="AC396" s="46">
        <f>IF(M396="","",M396-TODAY())</f>
        <v/>
      </c>
      <c r="AD396" s="46">
        <f>IF(B396="","",COUNTIFS('Interview Tracker'!A:A,B396))</f>
        <v/>
      </c>
      <c r="AE396" s="46" t="n"/>
      <c r="AF396" s="46" t="n"/>
      <c r="AG396" s="46" t="n"/>
    </row>
    <row r="397" ht="22" customHeight="1">
      <c r="A397" s="48">
        <f>"APP-"&amp;TEXT(ROW()-1,"000")</f>
        <v/>
      </c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  <c r="Z397" s="48" t="n"/>
      <c r="AA397" s="48" t="n"/>
      <c r="AB397" s="48">
        <f>IF(I397="","",TODAY()-I397)</f>
        <v/>
      </c>
      <c r="AC397" s="48">
        <f>IF(M397="","",M397-TODAY())</f>
        <v/>
      </c>
      <c r="AD397" s="48">
        <f>IF(B397="","",COUNTIFS('Interview Tracker'!A:A,B397))</f>
        <v/>
      </c>
      <c r="AE397" s="48" t="n"/>
      <c r="AF397" s="48" t="n"/>
      <c r="AG397" s="48" t="n"/>
    </row>
    <row r="398" ht="22" customHeight="1">
      <c r="A398" s="46">
        <f>"APP-"&amp;TEXT(ROW()-1,"000")</f>
        <v/>
      </c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  <c r="AA398" s="46" t="n"/>
      <c r="AB398" s="46">
        <f>IF(I398="","",TODAY()-I398)</f>
        <v/>
      </c>
      <c r="AC398" s="46">
        <f>IF(M398="","",M398-TODAY())</f>
        <v/>
      </c>
      <c r="AD398" s="46">
        <f>IF(B398="","",COUNTIFS('Interview Tracker'!A:A,B398))</f>
        <v/>
      </c>
      <c r="AE398" s="46" t="n"/>
      <c r="AF398" s="46" t="n"/>
      <c r="AG398" s="46" t="n"/>
    </row>
    <row r="399" ht="22" customHeight="1">
      <c r="A399" s="48">
        <f>"APP-"&amp;TEXT(ROW()-1,"000")</f>
        <v/>
      </c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  <c r="Z399" s="48" t="n"/>
      <c r="AA399" s="48" t="n"/>
      <c r="AB399" s="48">
        <f>IF(I399="","",TODAY()-I399)</f>
        <v/>
      </c>
      <c r="AC399" s="48">
        <f>IF(M399="","",M399-TODAY())</f>
        <v/>
      </c>
      <c r="AD399" s="48">
        <f>IF(B399="","",COUNTIFS('Interview Tracker'!A:A,B399))</f>
        <v/>
      </c>
      <c r="AE399" s="48" t="n"/>
      <c r="AF399" s="48" t="n"/>
      <c r="AG399" s="48" t="n"/>
    </row>
    <row r="400" ht="22" customHeight="1">
      <c r="A400" s="46">
        <f>"APP-"&amp;TEXT(ROW()-1,"000")</f>
        <v/>
      </c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  <c r="AA400" s="46" t="n"/>
      <c r="AB400" s="46">
        <f>IF(I400="","",TODAY()-I400)</f>
        <v/>
      </c>
      <c r="AC400" s="46">
        <f>IF(M400="","",M400-TODAY())</f>
        <v/>
      </c>
      <c r="AD400" s="46">
        <f>IF(B400="","",COUNTIFS('Interview Tracker'!A:A,B400))</f>
        <v/>
      </c>
      <c r="AE400" s="46" t="n"/>
      <c r="AF400" s="46" t="n"/>
      <c r="AG400" s="46" t="n"/>
    </row>
    <row r="401" ht="22" customHeight="1">
      <c r="A401" s="48">
        <f>"APP-"&amp;TEXT(ROW()-1,"000")</f>
        <v/>
      </c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  <c r="Z401" s="48" t="n"/>
      <c r="AA401" s="48" t="n"/>
      <c r="AB401" s="48">
        <f>IF(I401="","",TODAY()-I401)</f>
        <v/>
      </c>
      <c r="AC401" s="48">
        <f>IF(M401="","",M401-TODAY())</f>
        <v/>
      </c>
      <c r="AD401" s="48">
        <f>IF(B401="","",COUNTIFS('Interview Tracker'!A:A,B401))</f>
        <v/>
      </c>
      <c r="AE401" s="48" t="n"/>
      <c r="AF401" s="48" t="n"/>
      <c r="AG401" s="48" t="n"/>
    </row>
    <row r="402" ht="22" customHeight="1">
      <c r="A402" s="46">
        <f>"APP-"&amp;TEXT(ROW()-1,"000")</f>
        <v/>
      </c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  <c r="AA402" s="46" t="n"/>
      <c r="AB402" s="46">
        <f>IF(I402="","",TODAY()-I402)</f>
        <v/>
      </c>
      <c r="AC402" s="46">
        <f>IF(M402="","",M402-TODAY())</f>
        <v/>
      </c>
      <c r="AD402" s="46">
        <f>IF(B402="","",COUNTIFS('Interview Tracker'!A:A,B402))</f>
        <v/>
      </c>
      <c r="AE402" s="46" t="n"/>
      <c r="AF402" s="46" t="n"/>
      <c r="AG402" s="46" t="n"/>
    </row>
    <row r="403" ht="22" customHeight="1">
      <c r="A403" s="48">
        <f>"APP-"&amp;TEXT(ROW()-1,"000")</f>
        <v/>
      </c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  <c r="Z403" s="48" t="n"/>
      <c r="AA403" s="48" t="n"/>
      <c r="AB403" s="48">
        <f>IF(I403="","",TODAY()-I403)</f>
        <v/>
      </c>
      <c r="AC403" s="48">
        <f>IF(M403="","",M403-TODAY())</f>
        <v/>
      </c>
      <c r="AD403" s="48">
        <f>IF(B403="","",COUNTIFS('Interview Tracker'!A:A,B403))</f>
        <v/>
      </c>
      <c r="AE403" s="48" t="n"/>
      <c r="AF403" s="48" t="n"/>
      <c r="AG403" s="48" t="n"/>
    </row>
    <row r="404" ht="22" customHeight="1">
      <c r="A404" s="46">
        <f>"APP-"&amp;TEXT(ROW()-1,"000")</f>
        <v/>
      </c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  <c r="AA404" s="46" t="n"/>
      <c r="AB404" s="46">
        <f>IF(I404="","",TODAY()-I404)</f>
        <v/>
      </c>
      <c r="AC404" s="46">
        <f>IF(M404="","",M404-TODAY())</f>
        <v/>
      </c>
      <c r="AD404" s="46">
        <f>IF(B404="","",COUNTIFS('Interview Tracker'!A:A,B404))</f>
        <v/>
      </c>
      <c r="AE404" s="46" t="n"/>
      <c r="AF404" s="46" t="n"/>
      <c r="AG404" s="46" t="n"/>
    </row>
    <row r="405" ht="22" customHeight="1">
      <c r="A405" s="48">
        <f>"APP-"&amp;TEXT(ROW()-1,"000")</f>
        <v/>
      </c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  <c r="Z405" s="48" t="n"/>
      <c r="AA405" s="48" t="n"/>
      <c r="AB405" s="48">
        <f>IF(I405="","",TODAY()-I405)</f>
        <v/>
      </c>
      <c r="AC405" s="48">
        <f>IF(M405="","",M405-TODAY())</f>
        <v/>
      </c>
      <c r="AD405" s="48">
        <f>IF(B405="","",COUNTIFS('Interview Tracker'!A:A,B405))</f>
        <v/>
      </c>
      <c r="AE405" s="48" t="n"/>
      <c r="AF405" s="48" t="n"/>
      <c r="AG405" s="48" t="n"/>
    </row>
    <row r="406" ht="22" customHeight="1">
      <c r="A406" s="46">
        <f>"APP-"&amp;TEXT(ROW()-1,"000")</f>
        <v/>
      </c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  <c r="AA406" s="46" t="n"/>
      <c r="AB406" s="46">
        <f>IF(I406="","",TODAY()-I406)</f>
        <v/>
      </c>
      <c r="AC406" s="46">
        <f>IF(M406="","",M406-TODAY())</f>
        <v/>
      </c>
      <c r="AD406" s="46">
        <f>IF(B406="","",COUNTIFS('Interview Tracker'!A:A,B406))</f>
        <v/>
      </c>
      <c r="AE406" s="46" t="n"/>
      <c r="AF406" s="46" t="n"/>
      <c r="AG406" s="46" t="n"/>
    </row>
    <row r="407" ht="22" customHeight="1">
      <c r="A407" s="48">
        <f>"APP-"&amp;TEXT(ROW()-1,"000")</f>
        <v/>
      </c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  <c r="Z407" s="48" t="n"/>
      <c r="AA407" s="48" t="n"/>
      <c r="AB407" s="48">
        <f>IF(I407="","",TODAY()-I407)</f>
        <v/>
      </c>
      <c r="AC407" s="48">
        <f>IF(M407="","",M407-TODAY())</f>
        <v/>
      </c>
      <c r="AD407" s="48">
        <f>IF(B407="","",COUNTIFS('Interview Tracker'!A:A,B407))</f>
        <v/>
      </c>
      <c r="AE407" s="48" t="n"/>
      <c r="AF407" s="48" t="n"/>
      <c r="AG407" s="48" t="n"/>
    </row>
    <row r="408" ht="22" customHeight="1">
      <c r="A408" s="46">
        <f>"APP-"&amp;TEXT(ROW()-1,"000")</f>
        <v/>
      </c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  <c r="AA408" s="46" t="n"/>
      <c r="AB408" s="46">
        <f>IF(I408="","",TODAY()-I408)</f>
        <v/>
      </c>
      <c r="AC408" s="46">
        <f>IF(M408="","",M408-TODAY())</f>
        <v/>
      </c>
      <c r="AD408" s="46">
        <f>IF(B408="","",COUNTIFS('Interview Tracker'!A:A,B408))</f>
        <v/>
      </c>
      <c r="AE408" s="46" t="n"/>
      <c r="AF408" s="46" t="n"/>
      <c r="AG408" s="46" t="n"/>
    </row>
    <row r="409" ht="22" customHeight="1">
      <c r="A409" s="48">
        <f>"APP-"&amp;TEXT(ROW()-1,"000")</f>
        <v/>
      </c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  <c r="Z409" s="48" t="n"/>
      <c r="AA409" s="48" t="n"/>
      <c r="AB409" s="48">
        <f>IF(I409="","",TODAY()-I409)</f>
        <v/>
      </c>
      <c r="AC409" s="48">
        <f>IF(M409="","",M409-TODAY())</f>
        <v/>
      </c>
      <c r="AD409" s="48">
        <f>IF(B409="","",COUNTIFS('Interview Tracker'!A:A,B409))</f>
        <v/>
      </c>
      <c r="AE409" s="48" t="n"/>
      <c r="AF409" s="48" t="n"/>
      <c r="AG409" s="48" t="n"/>
    </row>
    <row r="410" ht="22" customHeight="1">
      <c r="A410" s="46">
        <f>"APP-"&amp;TEXT(ROW()-1,"000")</f>
        <v/>
      </c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  <c r="AA410" s="46" t="n"/>
      <c r="AB410" s="46">
        <f>IF(I410="","",TODAY()-I410)</f>
        <v/>
      </c>
      <c r="AC410" s="46">
        <f>IF(M410="","",M410-TODAY())</f>
        <v/>
      </c>
      <c r="AD410" s="46">
        <f>IF(B410="","",COUNTIFS('Interview Tracker'!A:A,B410))</f>
        <v/>
      </c>
      <c r="AE410" s="46" t="n"/>
      <c r="AF410" s="46" t="n"/>
      <c r="AG410" s="46" t="n"/>
    </row>
    <row r="411" ht="22" customHeight="1">
      <c r="A411" s="48">
        <f>"APP-"&amp;TEXT(ROW()-1,"000")</f>
        <v/>
      </c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  <c r="Z411" s="48" t="n"/>
      <c r="AA411" s="48" t="n"/>
      <c r="AB411" s="48">
        <f>IF(I411="","",TODAY()-I411)</f>
        <v/>
      </c>
      <c r="AC411" s="48">
        <f>IF(M411="","",M411-TODAY())</f>
        <v/>
      </c>
      <c r="AD411" s="48">
        <f>IF(B411="","",COUNTIFS('Interview Tracker'!A:A,B411))</f>
        <v/>
      </c>
      <c r="AE411" s="48" t="n"/>
      <c r="AF411" s="48" t="n"/>
      <c r="AG411" s="48" t="n"/>
    </row>
    <row r="412" ht="22" customHeight="1">
      <c r="A412" s="46">
        <f>"APP-"&amp;TEXT(ROW()-1,"000")</f>
        <v/>
      </c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  <c r="AA412" s="46" t="n"/>
      <c r="AB412" s="46">
        <f>IF(I412="","",TODAY()-I412)</f>
        <v/>
      </c>
      <c r="AC412" s="46">
        <f>IF(M412="","",M412-TODAY())</f>
        <v/>
      </c>
      <c r="AD412" s="46">
        <f>IF(B412="","",COUNTIFS('Interview Tracker'!A:A,B412))</f>
        <v/>
      </c>
      <c r="AE412" s="46" t="n"/>
      <c r="AF412" s="46" t="n"/>
      <c r="AG412" s="46" t="n"/>
    </row>
    <row r="413" ht="22" customHeight="1">
      <c r="A413" s="48">
        <f>"APP-"&amp;TEXT(ROW()-1,"000")</f>
        <v/>
      </c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  <c r="Z413" s="48" t="n"/>
      <c r="AA413" s="48" t="n"/>
      <c r="AB413" s="48">
        <f>IF(I413="","",TODAY()-I413)</f>
        <v/>
      </c>
      <c r="AC413" s="48">
        <f>IF(M413="","",M413-TODAY())</f>
        <v/>
      </c>
      <c r="AD413" s="48">
        <f>IF(B413="","",COUNTIFS('Interview Tracker'!A:A,B413))</f>
        <v/>
      </c>
      <c r="AE413" s="48" t="n"/>
      <c r="AF413" s="48" t="n"/>
      <c r="AG413" s="48" t="n"/>
    </row>
    <row r="414" ht="22" customHeight="1">
      <c r="A414" s="46">
        <f>"APP-"&amp;TEXT(ROW()-1,"000")</f>
        <v/>
      </c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  <c r="AA414" s="46" t="n"/>
      <c r="AB414" s="46">
        <f>IF(I414="","",TODAY()-I414)</f>
        <v/>
      </c>
      <c r="AC414" s="46">
        <f>IF(M414="","",M414-TODAY())</f>
        <v/>
      </c>
      <c r="AD414" s="46">
        <f>IF(B414="","",COUNTIFS('Interview Tracker'!A:A,B414))</f>
        <v/>
      </c>
      <c r="AE414" s="46" t="n"/>
      <c r="AF414" s="46" t="n"/>
      <c r="AG414" s="46" t="n"/>
    </row>
    <row r="415" ht="22" customHeight="1">
      <c r="A415" s="48">
        <f>"APP-"&amp;TEXT(ROW()-1,"000")</f>
        <v/>
      </c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  <c r="Z415" s="48" t="n"/>
      <c r="AA415" s="48" t="n"/>
      <c r="AB415" s="48">
        <f>IF(I415="","",TODAY()-I415)</f>
        <v/>
      </c>
      <c r="AC415" s="48">
        <f>IF(M415="","",M415-TODAY())</f>
        <v/>
      </c>
      <c r="AD415" s="48">
        <f>IF(B415="","",COUNTIFS('Interview Tracker'!A:A,B415))</f>
        <v/>
      </c>
      <c r="AE415" s="48" t="n"/>
      <c r="AF415" s="48" t="n"/>
      <c r="AG415" s="48" t="n"/>
    </row>
    <row r="416" ht="22" customHeight="1">
      <c r="A416" s="46">
        <f>"APP-"&amp;TEXT(ROW()-1,"000")</f>
        <v/>
      </c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  <c r="AA416" s="46" t="n"/>
      <c r="AB416" s="46">
        <f>IF(I416="","",TODAY()-I416)</f>
        <v/>
      </c>
      <c r="AC416" s="46">
        <f>IF(M416="","",M416-TODAY())</f>
        <v/>
      </c>
      <c r="AD416" s="46">
        <f>IF(B416="","",COUNTIFS('Interview Tracker'!A:A,B416))</f>
        <v/>
      </c>
      <c r="AE416" s="46" t="n"/>
      <c r="AF416" s="46" t="n"/>
      <c r="AG416" s="46" t="n"/>
    </row>
    <row r="417" ht="22" customHeight="1">
      <c r="A417" s="48">
        <f>"APP-"&amp;TEXT(ROW()-1,"000")</f>
        <v/>
      </c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  <c r="Z417" s="48" t="n"/>
      <c r="AA417" s="48" t="n"/>
      <c r="AB417" s="48">
        <f>IF(I417="","",TODAY()-I417)</f>
        <v/>
      </c>
      <c r="AC417" s="48">
        <f>IF(M417="","",M417-TODAY())</f>
        <v/>
      </c>
      <c r="AD417" s="48">
        <f>IF(B417="","",COUNTIFS('Interview Tracker'!A:A,B417))</f>
        <v/>
      </c>
      <c r="AE417" s="48" t="n"/>
      <c r="AF417" s="48" t="n"/>
      <c r="AG417" s="48" t="n"/>
    </row>
    <row r="418" ht="22" customHeight="1">
      <c r="A418" s="46">
        <f>"APP-"&amp;TEXT(ROW()-1,"000")</f>
        <v/>
      </c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6" t="n"/>
      <c r="AB418" s="46">
        <f>IF(I418="","",TODAY()-I418)</f>
        <v/>
      </c>
      <c r="AC418" s="46">
        <f>IF(M418="","",M418-TODAY())</f>
        <v/>
      </c>
      <c r="AD418" s="46">
        <f>IF(B418="","",COUNTIFS('Interview Tracker'!A:A,B418))</f>
        <v/>
      </c>
      <c r="AE418" s="46" t="n"/>
      <c r="AF418" s="46" t="n"/>
      <c r="AG418" s="46" t="n"/>
    </row>
    <row r="419" ht="22" customHeight="1">
      <c r="A419" s="48">
        <f>"APP-"&amp;TEXT(ROW()-1,"000")</f>
        <v/>
      </c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  <c r="Z419" s="48" t="n"/>
      <c r="AA419" s="48" t="n"/>
      <c r="AB419" s="48">
        <f>IF(I419="","",TODAY()-I419)</f>
        <v/>
      </c>
      <c r="AC419" s="48">
        <f>IF(M419="","",M419-TODAY())</f>
        <v/>
      </c>
      <c r="AD419" s="48">
        <f>IF(B419="","",COUNTIFS('Interview Tracker'!A:A,B419))</f>
        <v/>
      </c>
      <c r="AE419" s="48" t="n"/>
      <c r="AF419" s="48" t="n"/>
      <c r="AG419" s="48" t="n"/>
    </row>
    <row r="420" ht="22" customHeight="1">
      <c r="A420" s="46">
        <f>"APP-"&amp;TEXT(ROW()-1,"000")</f>
        <v/>
      </c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6" t="n"/>
      <c r="AB420" s="46">
        <f>IF(I420="","",TODAY()-I420)</f>
        <v/>
      </c>
      <c r="AC420" s="46">
        <f>IF(M420="","",M420-TODAY())</f>
        <v/>
      </c>
      <c r="AD420" s="46">
        <f>IF(B420="","",COUNTIFS('Interview Tracker'!A:A,B420))</f>
        <v/>
      </c>
      <c r="AE420" s="46" t="n"/>
      <c r="AF420" s="46" t="n"/>
      <c r="AG420" s="46" t="n"/>
    </row>
    <row r="421" ht="22" customHeight="1">
      <c r="A421" s="48">
        <f>"APP-"&amp;TEXT(ROW()-1,"000")</f>
        <v/>
      </c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  <c r="Z421" s="48" t="n"/>
      <c r="AA421" s="48" t="n"/>
      <c r="AB421" s="48">
        <f>IF(I421="","",TODAY()-I421)</f>
        <v/>
      </c>
      <c r="AC421" s="48">
        <f>IF(M421="","",M421-TODAY())</f>
        <v/>
      </c>
      <c r="AD421" s="48">
        <f>IF(B421="","",COUNTIFS('Interview Tracker'!A:A,B421))</f>
        <v/>
      </c>
      <c r="AE421" s="48" t="n"/>
      <c r="AF421" s="48" t="n"/>
      <c r="AG421" s="48" t="n"/>
    </row>
    <row r="422" ht="22" customHeight="1">
      <c r="A422" s="46">
        <f>"APP-"&amp;TEXT(ROW()-1,"000")</f>
        <v/>
      </c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  <c r="AA422" s="46" t="n"/>
      <c r="AB422" s="46">
        <f>IF(I422="","",TODAY()-I422)</f>
        <v/>
      </c>
      <c r="AC422" s="46">
        <f>IF(M422="","",M422-TODAY())</f>
        <v/>
      </c>
      <c r="AD422" s="46">
        <f>IF(B422="","",COUNTIFS('Interview Tracker'!A:A,B422))</f>
        <v/>
      </c>
      <c r="AE422" s="46" t="n"/>
      <c r="AF422" s="46" t="n"/>
      <c r="AG422" s="46" t="n"/>
    </row>
    <row r="423" ht="22" customHeight="1">
      <c r="A423" s="48">
        <f>"APP-"&amp;TEXT(ROW()-1,"000")</f>
        <v/>
      </c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  <c r="Z423" s="48" t="n"/>
      <c r="AA423" s="48" t="n"/>
      <c r="AB423" s="48">
        <f>IF(I423="","",TODAY()-I423)</f>
        <v/>
      </c>
      <c r="AC423" s="48">
        <f>IF(M423="","",M423-TODAY())</f>
        <v/>
      </c>
      <c r="AD423" s="48">
        <f>IF(B423="","",COUNTIFS('Interview Tracker'!A:A,B423))</f>
        <v/>
      </c>
      <c r="AE423" s="48" t="n"/>
      <c r="AF423" s="48" t="n"/>
      <c r="AG423" s="48" t="n"/>
    </row>
    <row r="424" ht="22" customHeight="1">
      <c r="A424" s="46">
        <f>"APP-"&amp;TEXT(ROW()-1,"000")</f>
        <v/>
      </c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  <c r="AA424" s="46" t="n"/>
      <c r="AB424" s="46">
        <f>IF(I424="","",TODAY()-I424)</f>
        <v/>
      </c>
      <c r="AC424" s="46">
        <f>IF(M424="","",M424-TODAY())</f>
        <v/>
      </c>
      <c r="AD424" s="46">
        <f>IF(B424="","",COUNTIFS('Interview Tracker'!A:A,B424))</f>
        <v/>
      </c>
      <c r="AE424" s="46" t="n"/>
      <c r="AF424" s="46" t="n"/>
      <c r="AG424" s="46" t="n"/>
    </row>
    <row r="425" ht="22" customHeight="1">
      <c r="A425" s="48">
        <f>"APP-"&amp;TEXT(ROW()-1,"000")</f>
        <v/>
      </c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  <c r="Z425" s="48" t="n"/>
      <c r="AA425" s="48" t="n"/>
      <c r="AB425" s="48">
        <f>IF(I425="","",TODAY()-I425)</f>
        <v/>
      </c>
      <c r="AC425" s="48">
        <f>IF(M425="","",M425-TODAY())</f>
        <v/>
      </c>
      <c r="AD425" s="48">
        <f>IF(B425="","",COUNTIFS('Interview Tracker'!A:A,B425))</f>
        <v/>
      </c>
      <c r="AE425" s="48" t="n"/>
      <c r="AF425" s="48" t="n"/>
      <c r="AG425" s="48" t="n"/>
    </row>
    <row r="426" ht="22" customHeight="1">
      <c r="A426" s="46">
        <f>"APP-"&amp;TEXT(ROW()-1,"000")</f>
        <v/>
      </c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  <c r="AA426" s="46" t="n"/>
      <c r="AB426" s="46">
        <f>IF(I426="","",TODAY()-I426)</f>
        <v/>
      </c>
      <c r="AC426" s="46">
        <f>IF(M426="","",M426-TODAY())</f>
        <v/>
      </c>
      <c r="AD426" s="46">
        <f>IF(B426="","",COUNTIFS('Interview Tracker'!A:A,B426))</f>
        <v/>
      </c>
      <c r="AE426" s="46" t="n"/>
      <c r="AF426" s="46" t="n"/>
      <c r="AG426" s="46" t="n"/>
    </row>
    <row r="427" ht="22" customHeight="1">
      <c r="A427" s="48">
        <f>"APP-"&amp;TEXT(ROW()-1,"000")</f>
        <v/>
      </c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  <c r="Z427" s="48" t="n"/>
      <c r="AA427" s="48" t="n"/>
      <c r="AB427" s="48">
        <f>IF(I427="","",TODAY()-I427)</f>
        <v/>
      </c>
      <c r="AC427" s="48">
        <f>IF(M427="","",M427-TODAY())</f>
        <v/>
      </c>
      <c r="AD427" s="48">
        <f>IF(B427="","",COUNTIFS('Interview Tracker'!A:A,B427))</f>
        <v/>
      </c>
      <c r="AE427" s="48" t="n"/>
      <c r="AF427" s="48" t="n"/>
      <c r="AG427" s="48" t="n"/>
    </row>
    <row r="428" ht="22" customHeight="1">
      <c r="A428" s="46">
        <f>"APP-"&amp;TEXT(ROW()-1,"000")</f>
        <v/>
      </c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  <c r="AA428" s="46" t="n"/>
      <c r="AB428" s="46">
        <f>IF(I428="","",TODAY()-I428)</f>
        <v/>
      </c>
      <c r="AC428" s="46">
        <f>IF(M428="","",M428-TODAY())</f>
        <v/>
      </c>
      <c r="AD428" s="46">
        <f>IF(B428="","",COUNTIFS('Interview Tracker'!A:A,B428))</f>
        <v/>
      </c>
      <c r="AE428" s="46" t="n"/>
      <c r="AF428" s="46" t="n"/>
      <c r="AG428" s="46" t="n"/>
    </row>
    <row r="429" ht="22" customHeight="1">
      <c r="A429" s="48">
        <f>"APP-"&amp;TEXT(ROW()-1,"000")</f>
        <v/>
      </c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  <c r="Z429" s="48" t="n"/>
      <c r="AA429" s="48" t="n"/>
      <c r="AB429" s="48">
        <f>IF(I429="","",TODAY()-I429)</f>
        <v/>
      </c>
      <c r="AC429" s="48">
        <f>IF(M429="","",M429-TODAY())</f>
        <v/>
      </c>
      <c r="AD429" s="48">
        <f>IF(B429="","",COUNTIFS('Interview Tracker'!A:A,B429))</f>
        <v/>
      </c>
      <c r="AE429" s="48" t="n"/>
      <c r="AF429" s="48" t="n"/>
      <c r="AG429" s="48" t="n"/>
    </row>
    <row r="430" ht="22" customHeight="1">
      <c r="A430" s="46">
        <f>"APP-"&amp;TEXT(ROW()-1,"000")</f>
        <v/>
      </c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  <c r="AA430" s="46" t="n"/>
      <c r="AB430" s="46">
        <f>IF(I430="","",TODAY()-I430)</f>
        <v/>
      </c>
      <c r="AC430" s="46">
        <f>IF(M430="","",M430-TODAY())</f>
        <v/>
      </c>
      <c r="AD430" s="46">
        <f>IF(B430="","",COUNTIFS('Interview Tracker'!A:A,B430))</f>
        <v/>
      </c>
      <c r="AE430" s="46" t="n"/>
      <c r="AF430" s="46" t="n"/>
      <c r="AG430" s="46" t="n"/>
    </row>
    <row r="431" ht="22" customHeight="1">
      <c r="A431" s="48">
        <f>"APP-"&amp;TEXT(ROW()-1,"000")</f>
        <v/>
      </c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  <c r="Z431" s="48" t="n"/>
      <c r="AA431" s="48" t="n"/>
      <c r="AB431" s="48">
        <f>IF(I431="","",TODAY()-I431)</f>
        <v/>
      </c>
      <c r="AC431" s="48">
        <f>IF(M431="","",M431-TODAY())</f>
        <v/>
      </c>
      <c r="AD431" s="48">
        <f>IF(B431="","",COUNTIFS('Interview Tracker'!A:A,B431))</f>
        <v/>
      </c>
      <c r="AE431" s="48" t="n"/>
      <c r="AF431" s="48" t="n"/>
      <c r="AG431" s="48" t="n"/>
    </row>
    <row r="432" ht="22" customHeight="1">
      <c r="A432" s="46">
        <f>"APP-"&amp;TEXT(ROW()-1,"000")</f>
        <v/>
      </c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  <c r="AA432" s="46" t="n"/>
      <c r="AB432" s="46">
        <f>IF(I432="","",TODAY()-I432)</f>
        <v/>
      </c>
      <c r="AC432" s="46">
        <f>IF(M432="","",M432-TODAY())</f>
        <v/>
      </c>
      <c r="AD432" s="46">
        <f>IF(B432="","",COUNTIFS('Interview Tracker'!A:A,B432))</f>
        <v/>
      </c>
      <c r="AE432" s="46" t="n"/>
      <c r="AF432" s="46" t="n"/>
      <c r="AG432" s="46" t="n"/>
    </row>
    <row r="433" ht="22" customHeight="1">
      <c r="A433" s="48">
        <f>"APP-"&amp;TEXT(ROW()-1,"000")</f>
        <v/>
      </c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  <c r="Z433" s="48" t="n"/>
      <c r="AA433" s="48" t="n"/>
      <c r="AB433" s="48">
        <f>IF(I433="","",TODAY()-I433)</f>
        <v/>
      </c>
      <c r="AC433" s="48">
        <f>IF(M433="","",M433-TODAY())</f>
        <v/>
      </c>
      <c r="AD433" s="48">
        <f>IF(B433="","",COUNTIFS('Interview Tracker'!A:A,B433))</f>
        <v/>
      </c>
      <c r="AE433" s="48" t="n"/>
      <c r="AF433" s="48" t="n"/>
      <c r="AG433" s="48" t="n"/>
    </row>
    <row r="434" ht="22" customHeight="1">
      <c r="A434" s="46">
        <f>"APP-"&amp;TEXT(ROW()-1,"000")</f>
        <v/>
      </c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  <c r="AA434" s="46" t="n"/>
      <c r="AB434" s="46">
        <f>IF(I434="","",TODAY()-I434)</f>
        <v/>
      </c>
      <c r="AC434" s="46">
        <f>IF(M434="","",M434-TODAY())</f>
        <v/>
      </c>
      <c r="AD434" s="46">
        <f>IF(B434="","",COUNTIFS('Interview Tracker'!A:A,B434))</f>
        <v/>
      </c>
      <c r="AE434" s="46" t="n"/>
      <c r="AF434" s="46" t="n"/>
      <c r="AG434" s="46" t="n"/>
    </row>
    <row r="435" ht="22" customHeight="1">
      <c r="A435" s="48">
        <f>"APP-"&amp;TEXT(ROW()-1,"000")</f>
        <v/>
      </c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  <c r="Z435" s="48" t="n"/>
      <c r="AA435" s="48" t="n"/>
      <c r="AB435" s="48">
        <f>IF(I435="","",TODAY()-I435)</f>
        <v/>
      </c>
      <c r="AC435" s="48">
        <f>IF(M435="","",M435-TODAY())</f>
        <v/>
      </c>
      <c r="AD435" s="48">
        <f>IF(B435="","",COUNTIFS('Interview Tracker'!A:A,B435))</f>
        <v/>
      </c>
      <c r="AE435" s="48" t="n"/>
      <c r="AF435" s="48" t="n"/>
      <c r="AG435" s="48" t="n"/>
    </row>
    <row r="436" ht="22" customHeight="1">
      <c r="A436" s="46">
        <f>"APP-"&amp;TEXT(ROW()-1,"000")</f>
        <v/>
      </c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  <c r="AA436" s="46" t="n"/>
      <c r="AB436" s="46">
        <f>IF(I436="","",TODAY()-I436)</f>
        <v/>
      </c>
      <c r="AC436" s="46">
        <f>IF(M436="","",M436-TODAY())</f>
        <v/>
      </c>
      <c r="AD436" s="46">
        <f>IF(B436="","",COUNTIFS('Interview Tracker'!A:A,B436))</f>
        <v/>
      </c>
      <c r="AE436" s="46" t="n"/>
      <c r="AF436" s="46" t="n"/>
      <c r="AG436" s="46" t="n"/>
    </row>
    <row r="437" ht="22" customHeight="1">
      <c r="A437" s="48">
        <f>"APP-"&amp;TEXT(ROW()-1,"000")</f>
        <v/>
      </c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  <c r="Z437" s="48" t="n"/>
      <c r="AA437" s="48" t="n"/>
      <c r="AB437" s="48">
        <f>IF(I437="","",TODAY()-I437)</f>
        <v/>
      </c>
      <c r="AC437" s="48">
        <f>IF(M437="","",M437-TODAY())</f>
        <v/>
      </c>
      <c r="AD437" s="48">
        <f>IF(B437="","",COUNTIFS('Interview Tracker'!A:A,B437))</f>
        <v/>
      </c>
      <c r="AE437" s="48" t="n"/>
      <c r="AF437" s="48" t="n"/>
      <c r="AG437" s="48" t="n"/>
    </row>
    <row r="438" ht="22" customHeight="1">
      <c r="A438" s="46">
        <f>"APP-"&amp;TEXT(ROW()-1,"000")</f>
        <v/>
      </c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  <c r="AA438" s="46" t="n"/>
      <c r="AB438" s="46">
        <f>IF(I438="","",TODAY()-I438)</f>
        <v/>
      </c>
      <c r="AC438" s="46">
        <f>IF(M438="","",M438-TODAY())</f>
        <v/>
      </c>
      <c r="AD438" s="46">
        <f>IF(B438="","",COUNTIFS('Interview Tracker'!A:A,B438))</f>
        <v/>
      </c>
      <c r="AE438" s="46" t="n"/>
      <c r="AF438" s="46" t="n"/>
      <c r="AG438" s="46" t="n"/>
    </row>
    <row r="439" ht="22" customHeight="1">
      <c r="A439" s="48">
        <f>"APP-"&amp;TEXT(ROW()-1,"000")</f>
        <v/>
      </c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  <c r="Z439" s="48" t="n"/>
      <c r="AA439" s="48" t="n"/>
      <c r="AB439" s="48">
        <f>IF(I439="","",TODAY()-I439)</f>
        <v/>
      </c>
      <c r="AC439" s="48">
        <f>IF(M439="","",M439-TODAY())</f>
        <v/>
      </c>
      <c r="AD439" s="48">
        <f>IF(B439="","",COUNTIFS('Interview Tracker'!A:A,B439))</f>
        <v/>
      </c>
      <c r="AE439" s="48" t="n"/>
      <c r="AF439" s="48" t="n"/>
      <c r="AG439" s="48" t="n"/>
    </row>
    <row r="440" ht="22" customHeight="1">
      <c r="A440" s="46">
        <f>"APP-"&amp;TEXT(ROW()-1,"000")</f>
        <v/>
      </c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  <c r="AA440" s="46" t="n"/>
      <c r="AB440" s="46">
        <f>IF(I440="","",TODAY()-I440)</f>
        <v/>
      </c>
      <c r="AC440" s="46">
        <f>IF(M440="","",M440-TODAY())</f>
        <v/>
      </c>
      <c r="AD440" s="46">
        <f>IF(B440="","",COUNTIFS('Interview Tracker'!A:A,B440))</f>
        <v/>
      </c>
      <c r="AE440" s="46" t="n"/>
      <c r="AF440" s="46" t="n"/>
      <c r="AG440" s="46" t="n"/>
    </row>
    <row r="441" ht="22" customHeight="1">
      <c r="A441" s="48">
        <f>"APP-"&amp;TEXT(ROW()-1,"000")</f>
        <v/>
      </c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  <c r="Z441" s="48" t="n"/>
      <c r="AA441" s="48" t="n"/>
      <c r="AB441" s="48">
        <f>IF(I441="","",TODAY()-I441)</f>
        <v/>
      </c>
      <c r="AC441" s="48">
        <f>IF(M441="","",M441-TODAY())</f>
        <v/>
      </c>
      <c r="AD441" s="48">
        <f>IF(B441="","",COUNTIFS('Interview Tracker'!A:A,B441))</f>
        <v/>
      </c>
      <c r="AE441" s="48" t="n"/>
      <c r="AF441" s="48" t="n"/>
      <c r="AG441" s="48" t="n"/>
    </row>
    <row r="442" ht="22" customHeight="1">
      <c r="A442" s="46">
        <f>"APP-"&amp;TEXT(ROW()-1,"000")</f>
        <v/>
      </c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  <c r="AA442" s="46" t="n"/>
      <c r="AB442" s="46">
        <f>IF(I442="","",TODAY()-I442)</f>
        <v/>
      </c>
      <c r="AC442" s="46">
        <f>IF(M442="","",M442-TODAY())</f>
        <v/>
      </c>
      <c r="AD442" s="46">
        <f>IF(B442="","",COUNTIFS('Interview Tracker'!A:A,B442))</f>
        <v/>
      </c>
      <c r="AE442" s="46" t="n"/>
      <c r="AF442" s="46" t="n"/>
      <c r="AG442" s="46" t="n"/>
    </row>
    <row r="443" ht="22" customHeight="1">
      <c r="A443" s="48">
        <f>"APP-"&amp;TEXT(ROW()-1,"000")</f>
        <v/>
      </c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  <c r="Z443" s="48" t="n"/>
      <c r="AA443" s="48" t="n"/>
      <c r="AB443" s="48">
        <f>IF(I443="","",TODAY()-I443)</f>
        <v/>
      </c>
      <c r="AC443" s="48">
        <f>IF(M443="","",M443-TODAY())</f>
        <v/>
      </c>
      <c r="AD443" s="48">
        <f>IF(B443="","",COUNTIFS('Interview Tracker'!A:A,B443))</f>
        <v/>
      </c>
      <c r="AE443" s="48" t="n"/>
      <c r="AF443" s="48" t="n"/>
      <c r="AG443" s="48" t="n"/>
    </row>
    <row r="444" ht="22" customHeight="1">
      <c r="A444" s="46">
        <f>"APP-"&amp;TEXT(ROW()-1,"000")</f>
        <v/>
      </c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  <c r="AA444" s="46" t="n"/>
      <c r="AB444" s="46">
        <f>IF(I444="","",TODAY()-I444)</f>
        <v/>
      </c>
      <c r="AC444" s="46">
        <f>IF(M444="","",M444-TODAY())</f>
        <v/>
      </c>
      <c r="AD444" s="46">
        <f>IF(B444="","",COUNTIFS('Interview Tracker'!A:A,B444))</f>
        <v/>
      </c>
      <c r="AE444" s="46" t="n"/>
      <c r="AF444" s="46" t="n"/>
      <c r="AG444" s="46" t="n"/>
    </row>
    <row r="445" ht="22" customHeight="1">
      <c r="A445" s="48">
        <f>"APP-"&amp;TEXT(ROW()-1,"000")</f>
        <v/>
      </c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  <c r="Z445" s="48" t="n"/>
      <c r="AA445" s="48" t="n"/>
      <c r="AB445" s="48">
        <f>IF(I445="","",TODAY()-I445)</f>
        <v/>
      </c>
      <c r="AC445" s="48">
        <f>IF(M445="","",M445-TODAY())</f>
        <v/>
      </c>
      <c r="AD445" s="48">
        <f>IF(B445="","",COUNTIFS('Interview Tracker'!A:A,B445))</f>
        <v/>
      </c>
      <c r="AE445" s="48" t="n"/>
      <c r="AF445" s="48" t="n"/>
      <c r="AG445" s="48" t="n"/>
    </row>
    <row r="446" ht="22" customHeight="1">
      <c r="A446" s="46">
        <f>"APP-"&amp;TEXT(ROW()-1,"000")</f>
        <v/>
      </c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  <c r="AA446" s="46" t="n"/>
      <c r="AB446" s="46">
        <f>IF(I446="","",TODAY()-I446)</f>
        <v/>
      </c>
      <c r="AC446" s="46">
        <f>IF(M446="","",M446-TODAY())</f>
        <v/>
      </c>
      <c r="AD446" s="46">
        <f>IF(B446="","",COUNTIFS('Interview Tracker'!A:A,B446))</f>
        <v/>
      </c>
      <c r="AE446" s="46" t="n"/>
      <c r="AF446" s="46" t="n"/>
      <c r="AG446" s="46" t="n"/>
    </row>
    <row r="447" ht="22" customHeight="1">
      <c r="A447" s="48">
        <f>"APP-"&amp;TEXT(ROW()-1,"000")</f>
        <v/>
      </c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  <c r="Z447" s="48" t="n"/>
      <c r="AA447" s="48" t="n"/>
      <c r="AB447" s="48">
        <f>IF(I447="","",TODAY()-I447)</f>
        <v/>
      </c>
      <c r="AC447" s="48">
        <f>IF(M447="","",M447-TODAY())</f>
        <v/>
      </c>
      <c r="AD447" s="48">
        <f>IF(B447="","",COUNTIFS('Interview Tracker'!A:A,B447))</f>
        <v/>
      </c>
      <c r="AE447" s="48" t="n"/>
      <c r="AF447" s="48" t="n"/>
      <c r="AG447" s="48" t="n"/>
    </row>
    <row r="448" ht="22" customHeight="1">
      <c r="A448" s="46">
        <f>"APP-"&amp;TEXT(ROW()-1,"000")</f>
        <v/>
      </c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  <c r="AA448" s="46" t="n"/>
      <c r="AB448" s="46">
        <f>IF(I448="","",TODAY()-I448)</f>
        <v/>
      </c>
      <c r="AC448" s="46">
        <f>IF(M448="","",M448-TODAY())</f>
        <v/>
      </c>
      <c r="AD448" s="46">
        <f>IF(B448="","",COUNTIFS('Interview Tracker'!A:A,B448))</f>
        <v/>
      </c>
      <c r="AE448" s="46" t="n"/>
      <c r="AF448" s="46" t="n"/>
      <c r="AG448" s="46" t="n"/>
    </row>
    <row r="449" ht="22" customHeight="1">
      <c r="A449" s="48">
        <f>"APP-"&amp;TEXT(ROW()-1,"000")</f>
        <v/>
      </c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  <c r="Z449" s="48" t="n"/>
      <c r="AA449" s="48" t="n"/>
      <c r="AB449" s="48">
        <f>IF(I449="","",TODAY()-I449)</f>
        <v/>
      </c>
      <c r="AC449" s="48">
        <f>IF(M449="","",M449-TODAY())</f>
        <v/>
      </c>
      <c r="AD449" s="48">
        <f>IF(B449="","",COUNTIFS('Interview Tracker'!A:A,B449))</f>
        <v/>
      </c>
      <c r="AE449" s="48" t="n"/>
      <c r="AF449" s="48" t="n"/>
      <c r="AG449" s="48" t="n"/>
    </row>
    <row r="450" ht="22" customHeight="1">
      <c r="A450" s="46">
        <f>"APP-"&amp;TEXT(ROW()-1,"000")</f>
        <v/>
      </c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  <c r="AA450" s="46" t="n"/>
      <c r="AB450" s="46">
        <f>IF(I450="","",TODAY()-I450)</f>
        <v/>
      </c>
      <c r="AC450" s="46">
        <f>IF(M450="","",M450-TODAY())</f>
        <v/>
      </c>
      <c r="AD450" s="46">
        <f>IF(B450="","",COUNTIFS('Interview Tracker'!A:A,B450))</f>
        <v/>
      </c>
      <c r="AE450" s="46" t="n"/>
      <c r="AF450" s="46" t="n"/>
      <c r="AG450" s="46" t="n"/>
    </row>
    <row r="451" ht="22" customHeight="1">
      <c r="A451" s="48">
        <f>"APP-"&amp;TEXT(ROW()-1,"000")</f>
        <v/>
      </c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  <c r="Z451" s="48" t="n"/>
      <c r="AA451" s="48" t="n"/>
      <c r="AB451" s="48">
        <f>IF(I451="","",TODAY()-I451)</f>
        <v/>
      </c>
      <c r="AC451" s="48">
        <f>IF(M451="","",M451-TODAY())</f>
        <v/>
      </c>
      <c r="AD451" s="48">
        <f>IF(B451="","",COUNTIFS('Interview Tracker'!A:A,B451))</f>
        <v/>
      </c>
      <c r="AE451" s="48" t="n"/>
      <c r="AF451" s="48" t="n"/>
      <c r="AG451" s="48" t="n"/>
    </row>
    <row r="452" ht="22" customHeight="1">
      <c r="A452" s="46">
        <f>"APP-"&amp;TEXT(ROW()-1,"000")</f>
        <v/>
      </c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  <c r="AA452" s="46" t="n"/>
      <c r="AB452" s="46">
        <f>IF(I452="","",TODAY()-I452)</f>
        <v/>
      </c>
      <c r="AC452" s="46">
        <f>IF(M452="","",M452-TODAY())</f>
        <v/>
      </c>
      <c r="AD452" s="46">
        <f>IF(B452="","",COUNTIFS('Interview Tracker'!A:A,B452))</f>
        <v/>
      </c>
      <c r="AE452" s="46" t="n"/>
      <c r="AF452" s="46" t="n"/>
      <c r="AG452" s="46" t="n"/>
    </row>
    <row r="453" ht="22" customHeight="1">
      <c r="A453" s="48">
        <f>"APP-"&amp;TEXT(ROW()-1,"000")</f>
        <v/>
      </c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  <c r="Z453" s="48" t="n"/>
      <c r="AA453" s="48" t="n"/>
      <c r="AB453" s="48">
        <f>IF(I453="","",TODAY()-I453)</f>
        <v/>
      </c>
      <c r="AC453" s="48">
        <f>IF(M453="","",M453-TODAY())</f>
        <v/>
      </c>
      <c r="AD453" s="48">
        <f>IF(B453="","",COUNTIFS('Interview Tracker'!A:A,B453))</f>
        <v/>
      </c>
      <c r="AE453" s="48" t="n"/>
      <c r="AF453" s="48" t="n"/>
      <c r="AG453" s="48" t="n"/>
    </row>
    <row r="454" ht="22" customHeight="1">
      <c r="A454" s="46">
        <f>"APP-"&amp;TEXT(ROW()-1,"000")</f>
        <v/>
      </c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  <c r="AA454" s="46" t="n"/>
      <c r="AB454" s="46">
        <f>IF(I454="","",TODAY()-I454)</f>
        <v/>
      </c>
      <c r="AC454" s="46">
        <f>IF(M454="","",M454-TODAY())</f>
        <v/>
      </c>
      <c r="AD454" s="46">
        <f>IF(B454="","",COUNTIFS('Interview Tracker'!A:A,B454))</f>
        <v/>
      </c>
      <c r="AE454" s="46" t="n"/>
      <c r="AF454" s="46" t="n"/>
      <c r="AG454" s="46" t="n"/>
    </row>
    <row r="455" ht="22" customHeight="1">
      <c r="A455" s="48">
        <f>"APP-"&amp;TEXT(ROW()-1,"000")</f>
        <v/>
      </c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  <c r="Z455" s="48" t="n"/>
      <c r="AA455" s="48" t="n"/>
      <c r="AB455" s="48">
        <f>IF(I455="","",TODAY()-I455)</f>
        <v/>
      </c>
      <c r="AC455" s="48">
        <f>IF(M455="","",M455-TODAY())</f>
        <v/>
      </c>
      <c r="AD455" s="48">
        <f>IF(B455="","",COUNTIFS('Interview Tracker'!A:A,B455))</f>
        <v/>
      </c>
      <c r="AE455" s="48" t="n"/>
      <c r="AF455" s="48" t="n"/>
      <c r="AG455" s="48" t="n"/>
    </row>
    <row r="456" ht="22" customHeight="1">
      <c r="A456" s="46">
        <f>"APP-"&amp;TEXT(ROW()-1,"000")</f>
        <v/>
      </c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  <c r="AA456" s="46" t="n"/>
      <c r="AB456" s="46">
        <f>IF(I456="","",TODAY()-I456)</f>
        <v/>
      </c>
      <c r="AC456" s="46">
        <f>IF(M456="","",M456-TODAY())</f>
        <v/>
      </c>
      <c r="AD456" s="46">
        <f>IF(B456="","",COUNTIFS('Interview Tracker'!A:A,B456))</f>
        <v/>
      </c>
      <c r="AE456" s="46" t="n"/>
      <c r="AF456" s="46" t="n"/>
      <c r="AG456" s="46" t="n"/>
    </row>
    <row r="457" ht="22" customHeight="1">
      <c r="A457" s="48">
        <f>"APP-"&amp;TEXT(ROW()-1,"000")</f>
        <v/>
      </c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  <c r="Z457" s="48" t="n"/>
      <c r="AA457" s="48" t="n"/>
      <c r="AB457" s="48">
        <f>IF(I457="","",TODAY()-I457)</f>
        <v/>
      </c>
      <c r="AC457" s="48">
        <f>IF(M457="","",M457-TODAY())</f>
        <v/>
      </c>
      <c r="AD457" s="48">
        <f>IF(B457="","",COUNTIFS('Interview Tracker'!A:A,B457))</f>
        <v/>
      </c>
      <c r="AE457" s="48" t="n"/>
      <c r="AF457" s="48" t="n"/>
      <c r="AG457" s="48" t="n"/>
    </row>
    <row r="458" ht="22" customHeight="1">
      <c r="A458" s="46">
        <f>"APP-"&amp;TEXT(ROW()-1,"000")</f>
        <v/>
      </c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  <c r="AA458" s="46" t="n"/>
      <c r="AB458" s="46">
        <f>IF(I458="","",TODAY()-I458)</f>
        <v/>
      </c>
      <c r="AC458" s="46">
        <f>IF(M458="","",M458-TODAY())</f>
        <v/>
      </c>
      <c r="AD458" s="46">
        <f>IF(B458="","",COUNTIFS('Interview Tracker'!A:A,B458))</f>
        <v/>
      </c>
      <c r="AE458" s="46" t="n"/>
      <c r="AF458" s="46" t="n"/>
      <c r="AG458" s="46" t="n"/>
    </row>
    <row r="459" ht="22" customHeight="1">
      <c r="A459" s="48">
        <f>"APP-"&amp;TEXT(ROW()-1,"000")</f>
        <v/>
      </c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  <c r="Z459" s="48" t="n"/>
      <c r="AA459" s="48" t="n"/>
      <c r="AB459" s="48">
        <f>IF(I459="","",TODAY()-I459)</f>
        <v/>
      </c>
      <c r="AC459" s="48">
        <f>IF(M459="","",M459-TODAY())</f>
        <v/>
      </c>
      <c r="AD459" s="48">
        <f>IF(B459="","",COUNTIFS('Interview Tracker'!A:A,B459))</f>
        <v/>
      </c>
      <c r="AE459" s="48" t="n"/>
      <c r="AF459" s="48" t="n"/>
      <c r="AG459" s="48" t="n"/>
    </row>
    <row r="460" ht="22" customHeight="1">
      <c r="A460" s="46">
        <f>"APP-"&amp;TEXT(ROW()-1,"000")</f>
        <v/>
      </c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  <c r="AA460" s="46" t="n"/>
      <c r="AB460" s="46">
        <f>IF(I460="","",TODAY()-I460)</f>
        <v/>
      </c>
      <c r="AC460" s="46">
        <f>IF(M460="","",M460-TODAY())</f>
        <v/>
      </c>
      <c r="AD460" s="46">
        <f>IF(B460="","",COUNTIFS('Interview Tracker'!A:A,B460))</f>
        <v/>
      </c>
      <c r="AE460" s="46" t="n"/>
      <c r="AF460" s="46" t="n"/>
      <c r="AG460" s="46" t="n"/>
    </row>
    <row r="461" ht="22" customHeight="1">
      <c r="A461" s="48">
        <f>"APP-"&amp;TEXT(ROW()-1,"000")</f>
        <v/>
      </c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  <c r="Z461" s="48" t="n"/>
      <c r="AA461" s="48" t="n"/>
      <c r="AB461" s="48">
        <f>IF(I461="","",TODAY()-I461)</f>
        <v/>
      </c>
      <c r="AC461" s="48">
        <f>IF(M461="","",M461-TODAY())</f>
        <v/>
      </c>
      <c r="AD461" s="48">
        <f>IF(B461="","",COUNTIFS('Interview Tracker'!A:A,B461))</f>
        <v/>
      </c>
      <c r="AE461" s="48" t="n"/>
      <c r="AF461" s="48" t="n"/>
      <c r="AG461" s="48" t="n"/>
    </row>
    <row r="462" ht="22" customHeight="1">
      <c r="A462" s="46">
        <f>"APP-"&amp;TEXT(ROW()-1,"000")</f>
        <v/>
      </c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  <c r="AA462" s="46" t="n"/>
      <c r="AB462" s="46">
        <f>IF(I462="","",TODAY()-I462)</f>
        <v/>
      </c>
      <c r="AC462" s="46">
        <f>IF(M462="","",M462-TODAY())</f>
        <v/>
      </c>
      <c r="AD462" s="46">
        <f>IF(B462="","",COUNTIFS('Interview Tracker'!A:A,B462))</f>
        <v/>
      </c>
      <c r="AE462" s="46" t="n"/>
      <c r="AF462" s="46" t="n"/>
      <c r="AG462" s="46" t="n"/>
    </row>
    <row r="463" ht="22" customHeight="1">
      <c r="A463" s="48">
        <f>"APP-"&amp;TEXT(ROW()-1,"000")</f>
        <v/>
      </c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  <c r="Z463" s="48" t="n"/>
      <c r="AA463" s="48" t="n"/>
      <c r="AB463" s="48">
        <f>IF(I463="","",TODAY()-I463)</f>
        <v/>
      </c>
      <c r="AC463" s="48">
        <f>IF(M463="","",M463-TODAY())</f>
        <v/>
      </c>
      <c r="AD463" s="48">
        <f>IF(B463="","",COUNTIFS('Interview Tracker'!A:A,B463))</f>
        <v/>
      </c>
      <c r="AE463" s="48" t="n"/>
      <c r="AF463" s="48" t="n"/>
      <c r="AG463" s="48" t="n"/>
    </row>
    <row r="464" ht="22" customHeight="1">
      <c r="A464" s="46">
        <f>"APP-"&amp;TEXT(ROW()-1,"000")</f>
        <v/>
      </c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  <c r="AA464" s="46" t="n"/>
      <c r="AB464" s="46">
        <f>IF(I464="","",TODAY()-I464)</f>
        <v/>
      </c>
      <c r="AC464" s="46">
        <f>IF(M464="","",M464-TODAY())</f>
        <v/>
      </c>
      <c r="AD464" s="46">
        <f>IF(B464="","",COUNTIFS('Interview Tracker'!A:A,B464))</f>
        <v/>
      </c>
      <c r="AE464" s="46" t="n"/>
      <c r="AF464" s="46" t="n"/>
      <c r="AG464" s="46" t="n"/>
    </row>
    <row r="465" ht="22" customHeight="1">
      <c r="A465" s="48">
        <f>"APP-"&amp;TEXT(ROW()-1,"000")</f>
        <v/>
      </c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  <c r="Z465" s="48" t="n"/>
      <c r="AA465" s="48" t="n"/>
      <c r="AB465" s="48">
        <f>IF(I465="","",TODAY()-I465)</f>
        <v/>
      </c>
      <c r="AC465" s="48">
        <f>IF(M465="","",M465-TODAY())</f>
        <v/>
      </c>
      <c r="AD465" s="48">
        <f>IF(B465="","",COUNTIFS('Interview Tracker'!A:A,B465))</f>
        <v/>
      </c>
      <c r="AE465" s="48" t="n"/>
      <c r="AF465" s="48" t="n"/>
      <c r="AG465" s="48" t="n"/>
    </row>
    <row r="466" ht="22" customHeight="1">
      <c r="A466" s="46">
        <f>"APP-"&amp;TEXT(ROW()-1,"000")</f>
        <v/>
      </c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  <c r="AA466" s="46" t="n"/>
      <c r="AB466" s="46">
        <f>IF(I466="","",TODAY()-I466)</f>
        <v/>
      </c>
      <c r="AC466" s="46">
        <f>IF(M466="","",M466-TODAY())</f>
        <v/>
      </c>
      <c r="AD466" s="46">
        <f>IF(B466="","",COUNTIFS('Interview Tracker'!A:A,B466))</f>
        <v/>
      </c>
      <c r="AE466" s="46" t="n"/>
      <c r="AF466" s="46" t="n"/>
      <c r="AG466" s="46" t="n"/>
    </row>
    <row r="467" ht="22" customHeight="1">
      <c r="A467" s="48">
        <f>"APP-"&amp;TEXT(ROW()-1,"000")</f>
        <v/>
      </c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  <c r="Z467" s="48" t="n"/>
      <c r="AA467" s="48" t="n"/>
      <c r="AB467" s="48">
        <f>IF(I467="","",TODAY()-I467)</f>
        <v/>
      </c>
      <c r="AC467" s="48">
        <f>IF(M467="","",M467-TODAY())</f>
        <v/>
      </c>
      <c r="AD467" s="48">
        <f>IF(B467="","",COUNTIFS('Interview Tracker'!A:A,B467))</f>
        <v/>
      </c>
      <c r="AE467" s="48" t="n"/>
      <c r="AF467" s="48" t="n"/>
      <c r="AG467" s="48" t="n"/>
    </row>
    <row r="468" ht="22" customHeight="1">
      <c r="A468" s="46">
        <f>"APP-"&amp;TEXT(ROW()-1,"000")</f>
        <v/>
      </c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  <c r="AA468" s="46" t="n"/>
      <c r="AB468" s="46">
        <f>IF(I468="","",TODAY()-I468)</f>
        <v/>
      </c>
      <c r="AC468" s="46">
        <f>IF(M468="","",M468-TODAY())</f>
        <v/>
      </c>
      <c r="AD468" s="46">
        <f>IF(B468="","",COUNTIFS('Interview Tracker'!A:A,B468))</f>
        <v/>
      </c>
      <c r="AE468" s="46" t="n"/>
      <c r="AF468" s="46" t="n"/>
      <c r="AG468" s="46" t="n"/>
    </row>
    <row r="469" ht="22" customHeight="1">
      <c r="A469" s="48">
        <f>"APP-"&amp;TEXT(ROW()-1,"000")</f>
        <v/>
      </c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  <c r="Z469" s="48" t="n"/>
      <c r="AA469" s="48" t="n"/>
      <c r="AB469" s="48">
        <f>IF(I469="","",TODAY()-I469)</f>
        <v/>
      </c>
      <c r="AC469" s="48">
        <f>IF(M469="","",M469-TODAY())</f>
        <v/>
      </c>
      <c r="AD469" s="48">
        <f>IF(B469="","",COUNTIFS('Interview Tracker'!A:A,B469))</f>
        <v/>
      </c>
      <c r="AE469" s="48" t="n"/>
      <c r="AF469" s="48" t="n"/>
      <c r="AG469" s="48" t="n"/>
    </row>
    <row r="470" ht="22" customHeight="1">
      <c r="A470" s="46">
        <f>"APP-"&amp;TEXT(ROW()-1,"000")</f>
        <v/>
      </c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  <c r="AA470" s="46" t="n"/>
      <c r="AB470" s="46">
        <f>IF(I470="","",TODAY()-I470)</f>
        <v/>
      </c>
      <c r="AC470" s="46">
        <f>IF(M470="","",M470-TODAY())</f>
        <v/>
      </c>
      <c r="AD470" s="46">
        <f>IF(B470="","",COUNTIFS('Interview Tracker'!A:A,B470))</f>
        <v/>
      </c>
      <c r="AE470" s="46" t="n"/>
      <c r="AF470" s="46" t="n"/>
      <c r="AG470" s="46" t="n"/>
    </row>
    <row r="471" ht="22" customHeight="1">
      <c r="A471" s="48">
        <f>"APP-"&amp;TEXT(ROW()-1,"000")</f>
        <v/>
      </c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  <c r="Z471" s="48" t="n"/>
      <c r="AA471" s="48" t="n"/>
      <c r="AB471" s="48">
        <f>IF(I471="","",TODAY()-I471)</f>
        <v/>
      </c>
      <c r="AC471" s="48">
        <f>IF(M471="","",M471-TODAY())</f>
        <v/>
      </c>
      <c r="AD471" s="48">
        <f>IF(B471="","",COUNTIFS('Interview Tracker'!A:A,B471))</f>
        <v/>
      </c>
      <c r="AE471" s="48" t="n"/>
      <c r="AF471" s="48" t="n"/>
      <c r="AG471" s="48" t="n"/>
    </row>
    <row r="472" ht="22" customHeight="1">
      <c r="A472" s="46">
        <f>"APP-"&amp;TEXT(ROW()-1,"000")</f>
        <v/>
      </c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  <c r="AA472" s="46" t="n"/>
      <c r="AB472" s="46">
        <f>IF(I472="","",TODAY()-I472)</f>
        <v/>
      </c>
      <c r="AC472" s="46">
        <f>IF(M472="","",M472-TODAY())</f>
        <v/>
      </c>
      <c r="AD472" s="46">
        <f>IF(B472="","",COUNTIFS('Interview Tracker'!A:A,B472))</f>
        <v/>
      </c>
      <c r="AE472" s="46" t="n"/>
      <c r="AF472" s="46" t="n"/>
      <c r="AG472" s="46" t="n"/>
    </row>
    <row r="473" ht="22" customHeight="1">
      <c r="A473" s="48">
        <f>"APP-"&amp;TEXT(ROW()-1,"000")</f>
        <v/>
      </c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  <c r="Z473" s="48" t="n"/>
      <c r="AA473" s="48" t="n"/>
      <c r="AB473" s="48">
        <f>IF(I473="","",TODAY()-I473)</f>
        <v/>
      </c>
      <c r="AC473" s="48">
        <f>IF(M473="","",M473-TODAY())</f>
        <v/>
      </c>
      <c r="AD473" s="48">
        <f>IF(B473="","",COUNTIFS('Interview Tracker'!A:A,B473))</f>
        <v/>
      </c>
      <c r="AE473" s="48" t="n"/>
      <c r="AF473" s="48" t="n"/>
      <c r="AG473" s="48" t="n"/>
    </row>
    <row r="474" ht="22" customHeight="1">
      <c r="A474" s="46">
        <f>"APP-"&amp;TEXT(ROW()-1,"000")</f>
        <v/>
      </c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  <c r="AA474" s="46" t="n"/>
      <c r="AB474" s="46">
        <f>IF(I474="","",TODAY()-I474)</f>
        <v/>
      </c>
      <c r="AC474" s="46">
        <f>IF(M474="","",M474-TODAY())</f>
        <v/>
      </c>
      <c r="AD474" s="46">
        <f>IF(B474="","",COUNTIFS('Interview Tracker'!A:A,B474))</f>
        <v/>
      </c>
      <c r="AE474" s="46" t="n"/>
      <c r="AF474" s="46" t="n"/>
      <c r="AG474" s="46" t="n"/>
    </row>
    <row r="475" ht="22" customHeight="1">
      <c r="A475" s="48">
        <f>"APP-"&amp;TEXT(ROW()-1,"000")</f>
        <v/>
      </c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  <c r="Z475" s="48" t="n"/>
      <c r="AA475" s="48" t="n"/>
      <c r="AB475" s="48">
        <f>IF(I475="","",TODAY()-I475)</f>
        <v/>
      </c>
      <c r="AC475" s="48">
        <f>IF(M475="","",M475-TODAY())</f>
        <v/>
      </c>
      <c r="AD475" s="48">
        <f>IF(B475="","",COUNTIFS('Interview Tracker'!A:A,B475))</f>
        <v/>
      </c>
      <c r="AE475" s="48" t="n"/>
      <c r="AF475" s="48" t="n"/>
      <c r="AG475" s="48" t="n"/>
    </row>
    <row r="476" ht="22" customHeight="1">
      <c r="A476" s="46">
        <f>"APP-"&amp;TEXT(ROW()-1,"000")</f>
        <v/>
      </c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  <c r="AA476" s="46" t="n"/>
      <c r="AB476" s="46">
        <f>IF(I476="","",TODAY()-I476)</f>
        <v/>
      </c>
      <c r="AC476" s="46">
        <f>IF(M476="","",M476-TODAY())</f>
        <v/>
      </c>
      <c r="AD476" s="46">
        <f>IF(B476="","",COUNTIFS('Interview Tracker'!A:A,B476))</f>
        <v/>
      </c>
      <c r="AE476" s="46" t="n"/>
      <c r="AF476" s="46" t="n"/>
      <c r="AG476" s="46" t="n"/>
    </row>
    <row r="477" ht="22" customHeight="1">
      <c r="A477" s="48">
        <f>"APP-"&amp;TEXT(ROW()-1,"000")</f>
        <v/>
      </c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  <c r="Z477" s="48" t="n"/>
      <c r="AA477" s="48" t="n"/>
      <c r="AB477" s="48">
        <f>IF(I477="","",TODAY()-I477)</f>
        <v/>
      </c>
      <c r="AC477" s="48">
        <f>IF(M477="","",M477-TODAY())</f>
        <v/>
      </c>
      <c r="AD477" s="48">
        <f>IF(B477="","",COUNTIFS('Interview Tracker'!A:A,B477))</f>
        <v/>
      </c>
      <c r="AE477" s="48" t="n"/>
      <c r="AF477" s="48" t="n"/>
      <c r="AG477" s="48" t="n"/>
    </row>
    <row r="478" ht="22" customHeight="1">
      <c r="A478" s="46">
        <f>"APP-"&amp;TEXT(ROW()-1,"000")</f>
        <v/>
      </c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  <c r="AA478" s="46" t="n"/>
      <c r="AB478" s="46">
        <f>IF(I478="","",TODAY()-I478)</f>
        <v/>
      </c>
      <c r="AC478" s="46">
        <f>IF(M478="","",M478-TODAY())</f>
        <v/>
      </c>
      <c r="AD478" s="46">
        <f>IF(B478="","",COUNTIFS('Interview Tracker'!A:A,B478))</f>
        <v/>
      </c>
      <c r="AE478" s="46" t="n"/>
      <c r="AF478" s="46" t="n"/>
      <c r="AG478" s="46" t="n"/>
    </row>
    <row r="479" ht="22" customHeight="1">
      <c r="A479" s="48">
        <f>"APP-"&amp;TEXT(ROW()-1,"000")</f>
        <v/>
      </c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  <c r="Z479" s="48" t="n"/>
      <c r="AA479" s="48" t="n"/>
      <c r="AB479" s="48">
        <f>IF(I479="","",TODAY()-I479)</f>
        <v/>
      </c>
      <c r="AC479" s="48">
        <f>IF(M479="","",M479-TODAY())</f>
        <v/>
      </c>
      <c r="AD479" s="48">
        <f>IF(B479="","",COUNTIFS('Interview Tracker'!A:A,B479))</f>
        <v/>
      </c>
      <c r="AE479" s="48" t="n"/>
      <c r="AF479" s="48" t="n"/>
      <c r="AG479" s="48" t="n"/>
    </row>
    <row r="480" ht="22" customHeight="1">
      <c r="A480" s="46">
        <f>"APP-"&amp;TEXT(ROW()-1,"000")</f>
        <v/>
      </c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6" t="n"/>
      <c r="AB480" s="46">
        <f>IF(I480="","",TODAY()-I480)</f>
        <v/>
      </c>
      <c r="AC480" s="46">
        <f>IF(M480="","",M480-TODAY())</f>
        <v/>
      </c>
      <c r="AD480" s="46">
        <f>IF(B480="","",COUNTIFS('Interview Tracker'!A:A,B480))</f>
        <v/>
      </c>
      <c r="AE480" s="46" t="n"/>
      <c r="AF480" s="46" t="n"/>
      <c r="AG480" s="46" t="n"/>
    </row>
    <row r="481" ht="22" customHeight="1">
      <c r="A481" s="48">
        <f>"APP-"&amp;TEXT(ROW()-1,"000")</f>
        <v/>
      </c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  <c r="Z481" s="48" t="n"/>
      <c r="AA481" s="48" t="n"/>
      <c r="AB481" s="48">
        <f>IF(I481="","",TODAY()-I481)</f>
        <v/>
      </c>
      <c r="AC481" s="48">
        <f>IF(M481="","",M481-TODAY())</f>
        <v/>
      </c>
      <c r="AD481" s="48">
        <f>IF(B481="","",COUNTIFS('Interview Tracker'!A:A,B481))</f>
        <v/>
      </c>
      <c r="AE481" s="48" t="n"/>
      <c r="AF481" s="48" t="n"/>
      <c r="AG481" s="48" t="n"/>
    </row>
    <row r="482" ht="22" customHeight="1">
      <c r="A482" s="46">
        <f>"APP-"&amp;TEXT(ROW()-1,"000")</f>
        <v/>
      </c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6" t="n"/>
      <c r="AB482" s="46">
        <f>IF(I482="","",TODAY()-I482)</f>
        <v/>
      </c>
      <c r="AC482" s="46">
        <f>IF(M482="","",M482-TODAY())</f>
        <v/>
      </c>
      <c r="AD482" s="46">
        <f>IF(B482="","",COUNTIFS('Interview Tracker'!A:A,B482))</f>
        <v/>
      </c>
      <c r="AE482" s="46" t="n"/>
      <c r="AF482" s="46" t="n"/>
      <c r="AG482" s="46" t="n"/>
    </row>
    <row r="483" ht="22" customHeight="1">
      <c r="A483" s="48">
        <f>"APP-"&amp;TEXT(ROW()-1,"000")</f>
        <v/>
      </c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  <c r="Z483" s="48" t="n"/>
      <c r="AA483" s="48" t="n"/>
      <c r="AB483" s="48">
        <f>IF(I483="","",TODAY()-I483)</f>
        <v/>
      </c>
      <c r="AC483" s="48">
        <f>IF(M483="","",M483-TODAY())</f>
        <v/>
      </c>
      <c r="AD483" s="48">
        <f>IF(B483="","",COUNTIFS('Interview Tracker'!A:A,B483))</f>
        <v/>
      </c>
      <c r="AE483" s="48" t="n"/>
      <c r="AF483" s="48" t="n"/>
      <c r="AG483" s="48" t="n"/>
    </row>
    <row r="484" ht="22" customHeight="1">
      <c r="A484" s="46">
        <f>"APP-"&amp;TEXT(ROW()-1,"000")</f>
        <v/>
      </c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  <c r="AA484" s="46" t="n"/>
      <c r="AB484" s="46">
        <f>IF(I484="","",TODAY()-I484)</f>
        <v/>
      </c>
      <c r="AC484" s="46">
        <f>IF(M484="","",M484-TODAY())</f>
        <v/>
      </c>
      <c r="AD484" s="46">
        <f>IF(B484="","",COUNTIFS('Interview Tracker'!A:A,B484))</f>
        <v/>
      </c>
      <c r="AE484" s="46" t="n"/>
      <c r="AF484" s="46" t="n"/>
      <c r="AG484" s="46" t="n"/>
    </row>
    <row r="485" ht="22" customHeight="1">
      <c r="A485" s="48">
        <f>"APP-"&amp;TEXT(ROW()-1,"000")</f>
        <v/>
      </c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  <c r="Z485" s="48" t="n"/>
      <c r="AA485" s="48" t="n"/>
      <c r="AB485" s="48">
        <f>IF(I485="","",TODAY()-I485)</f>
        <v/>
      </c>
      <c r="AC485" s="48">
        <f>IF(M485="","",M485-TODAY())</f>
        <v/>
      </c>
      <c r="AD485" s="48">
        <f>IF(B485="","",COUNTIFS('Interview Tracker'!A:A,B485))</f>
        <v/>
      </c>
      <c r="AE485" s="48" t="n"/>
      <c r="AF485" s="48" t="n"/>
      <c r="AG485" s="48" t="n"/>
    </row>
    <row r="486" ht="22" customHeight="1">
      <c r="A486" s="46">
        <f>"APP-"&amp;TEXT(ROW()-1,"000")</f>
        <v/>
      </c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  <c r="AA486" s="46" t="n"/>
      <c r="AB486" s="46">
        <f>IF(I486="","",TODAY()-I486)</f>
        <v/>
      </c>
      <c r="AC486" s="46">
        <f>IF(M486="","",M486-TODAY())</f>
        <v/>
      </c>
      <c r="AD486" s="46">
        <f>IF(B486="","",COUNTIFS('Interview Tracker'!A:A,B486))</f>
        <v/>
      </c>
      <c r="AE486" s="46" t="n"/>
      <c r="AF486" s="46" t="n"/>
      <c r="AG486" s="46" t="n"/>
    </row>
    <row r="487" ht="22" customHeight="1">
      <c r="A487" s="48">
        <f>"APP-"&amp;TEXT(ROW()-1,"000")</f>
        <v/>
      </c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  <c r="Z487" s="48" t="n"/>
      <c r="AA487" s="48" t="n"/>
      <c r="AB487" s="48">
        <f>IF(I487="","",TODAY()-I487)</f>
        <v/>
      </c>
      <c r="AC487" s="48">
        <f>IF(M487="","",M487-TODAY())</f>
        <v/>
      </c>
      <c r="AD487" s="48">
        <f>IF(B487="","",COUNTIFS('Interview Tracker'!A:A,B487))</f>
        <v/>
      </c>
      <c r="AE487" s="48" t="n"/>
      <c r="AF487" s="48" t="n"/>
      <c r="AG487" s="48" t="n"/>
    </row>
    <row r="488" ht="22" customHeight="1">
      <c r="A488" s="46">
        <f>"APP-"&amp;TEXT(ROW()-1,"000")</f>
        <v/>
      </c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  <c r="AA488" s="46" t="n"/>
      <c r="AB488" s="46">
        <f>IF(I488="","",TODAY()-I488)</f>
        <v/>
      </c>
      <c r="AC488" s="46">
        <f>IF(M488="","",M488-TODAY())</f>
        <v/>
      </c>
      <c r="AD488" s="46">
        <f>IF(B488="","",COUNTIFS('Interview Tracker'!A:A,B488))</f>
        <v/>
      </c>
      <c r="AE488" s="46" t="n"/>
      <c r="AF488" s="46" t="n"/>
      <c r="AG488" s="46" t="n"/>
    </row>
    <row r="489" ht="22" customHeight="1">
      <c r="A489" s="48">
        <f>"APP-"&amp;TEXT(ROW()-1,"000")</f>
        <v/>
      </c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  <c r="Z489" s="48" t="n"/>
      <c r="AA489" s="48" t="n"/>
      <c r="AB489" s="48">
        <f>IF(I489="","",TODAY()-I489)</f>
        <v/>
      </c>
      <c r="AC489" s="48">
        <f>IF(M489="","",M489-TODAY())</f>
        <v/>
      </c>
      <c r="AD489" s="48">
        <f>IF(B489="","",COUNTIFS('Interview Tracker'!A:A,B489))</f>
        <v/>
      </c>
      <c r="AE489" s="48" t="n"/>
      <c r="AF489" s="48" t="n"/>
      <c r="AG489" s="48" t="n"/>
    </row>
    <row r="490" ht="22" customHeight="1">
      <c r="A490" s="46">
        <f>"APP-"&amp;TEXT(ROW()-1,"000")</f>
        <v/>
      </c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  <c r="AA490" s="46" t="n"/>
      <c r="AB490" s="46">
        <f>IF(I490="","",TODAY()-I490)</f>
        <v/>
      </c>
      <c r="AC490" s="46">
        <f>IF(M490="","",M490-TODAY())</f>
        <v/>
      </c>
      <c r="AD490" s="46">
        <f>IF(B490="","",COUNTIFS('Interview Tracker'!A:A,B490))</f>
        <v/>
      </c>
      <c r="AE490" s="46" t="n"/>
      <c r="AF490" s="46" t="n"/>
      <c r="AG490" s="46" t="n"/>
    </row>
    <row r="491" ht="22" customHeight="1">
      <c r="A491" s="48">
        <f>"APP-"&amp;TEXT(ROW()-1,"000")</f>
        <v/>
      </c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  <c r="Z491" s="48" t="n"/>
      <c r="AA491" s="48" t="n"/>
      <c r="AB491" s="48">
        <f>IF(I491="","",TODAY()-I491)</f>
        <v/>
      </c>
      <c r="AC491" s="48">
        <f>IF(M491="","",M491-TODAY())</f>
        <v/>
      </c>
      <c r="AD491" s="48">
        <f>IF(B491="","",COUNTIFS('Interview Tracker'!A:A,B491))</f>
        <v/>
      </c>
      <c r="AE491" s="48" t="n"/>
      <c r="AF491" s="48" t="n"/>
      <c r="AG491" s="48" t="n"/>
    </row>
    <row r="492" ht="22" customHeight="1">
      <c r="A492" s="46">
        <f>"APP-"&amp;TEXT(ROW()-1,"000")</f>
        <v/>
      </c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  <c r="AA492" s="46" t="n"/>
      <c r="AB492" s="46">
        <f>IF(I492="","",TODAY()-I492)</f>
        <v/>
      </c>
      <c r="AC492" s="46">
        <f>IF(M492="","",M492-TODAY())</f>
        <v/>
      </c>
      <c r="AD492" s="46">
        <f>IF(B492="","",COUNTIFS('Interview Tracker'!A:A,B492))</f>
        <v/>
      </c>
      <c r="AE492" s="46" t="n"/>
      <c r="AF492" s="46" t="n"/>
      <c r="AG492" s="46" t="n"/>
    </row>
    <row r="493" ht="22" customHeight="1">
      <c r="A493" s="48">
        <f>"APP-"&amp;TEXT(ROW()-1,"000")</f>
        <v/>
      </c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  <c r="Z493" s="48" t="n"/>
      <c r="AA493" s="48" t="n"/>
      <c r="AB493" s="48">
        <f>IF(I493="","",TODAY()-I493)</f>
        <v/>
      </c>
      <c r="AC493" s="48">
        <f>IF(M493="","",M493-TODAY())</f>
        <v/>
      </c>
      <c r="AD493" s="48">
        <f>IF(B493="","",COUNTIFS('Interview Tracker'!A:A,B493))</f>
        <v/>
      </c>
      <c r="AE493" s="48" t="n"/>
      <c r="AF493" s="48" t="n"/>
      <c r="AG493" s="48" t="n"/>
    </row>
    <row r="494" ht="22" customHeight="1">
      <c r="A494" s="46">
        <f>"APP-"&amp;TEXT(ROW()-1,"000")</f>
        <v/>
      </c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  <c r="AA494" s="46" t="n"/>
      <c r="AB494" s="46">
        <f>IF(I494="","",TODAY()-I494)</f>
        <v/>
      </c>
      <c r="AC494" s="46">
        <f>IF(M494="","",M494-TODAY())</f>
        <v/>
      </c>
      <c r="AD494" s="46">
        <f>IF(B494="","",COUNTIFS('Interview Tracker'!A:A,B494))</f>
        <v/>
      </c>
      <c r="AE494" s="46" t="n"/>
      <c r="AF494" s="46" t="n"/>
      <c r="AG494" s="46" t="n"/>
    </row>
    <row r="495" ht="22" customHeight="1">
      <c r="A495" s="48">
        <f>"APP-"&amp;TEXT(ROW()-1,"000")</f>
        <v/>
      </c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  <c r="Z495" s="48" t="n"/>
      <c r="AA495" s="48" t="n"/>
      <c r="AB495" s="48">
        <f>IF(I495="","",TODAY()-I495)</f>
        <v/>
      </c>
      <c r="AC495" s="48">
        <f>IF(M495="","",M495-TODAY())</f>
        <v/>
      </c>
      <c r="AD495" s="48">
        <f>IF(B495="","",COUNTIFS('Interview Tracker'!A:A,B495))</f>
        <v/>
      </c>
      <c r="AE495" s="48" t="n"/>
      <c r="AF495" s="48" t="n"/>
      <c r="AG495" s="48" t="n"/>
    </row>
    <row r="496" ht="22" customHeight="1">
      <c r="A496" s="46">
        <f>"APP-"&amp;TEXT(ROW()-1,"000")</f>
        <v/>
      </c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  <c r="AA496" s="46" t="n"/>
      <c r="AB496" s="46">
        <f>IF(I496="","",TODAY()-I496)</f>
        <v/>
      </c>
      <c r="AC496" s="46">
        <f>IF(M496="","",M496-TODAY())</f>
        <v/>
      </c>
      <c r="AD496" s="46">
        <f>IF(B496="","",COUNTIFS('Interview Tracker'!A:A,B496))</f>
        <v/>
      </c>
      <c r="AE496" s="46" t="n"/>
      <c r="AF496" s="46" t="n"/>
      <c r="AG496" s="46" t="n"/>
    </row>
    <row r="497" ht="22" customHeight="1">
      <c r="A497" s="48">
        <f>"APP-"&amp;TEXT(ROW()-1,"000")</f>
        <v/>
      </c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  <c r="Z497" s="48" t="n"/>
      <c r="AA497" s="48" t="n"/>
      <c r="AB497" s="48">
        <f>IF(I497="","",TODAY()-I497)</f>
        <v/>
      </c>
      <c r="AC497" s="48">
        <f>IF(M497="","",M497-TODAY())</f>
        <v/>
      </c>
      <c r="AD497" s="48">
        <f>IF(B497="","",COUNTIFS('Interview Tracker'!A:A,B497))</f>
        <v/>
      </c>
      <c r="AE497" s="48" t="n"/>
      <c r="AF497" s="48" t="n"/>
      <c r="AG497" s="48" t="n"/>
    </row>
    <row r="498" ht="22" customHeight="1">
      <c r="A498" s="46">
        <f>"APP-"&amp;TEXT(ROW()-1,"000")</f>
        <v/>
      </c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  <c r="AA498" s="46" t="n"/>
      <c r="AB498" s="46">
        <f>IF(I498="","",TODAY()-I498)</f>
        <v/>
      </c>
      <c r="AC498" s="46">
        <f>IF(M498="","",M498-TODAY())</f>
        <v/>
      </c>
      <c r="AD498" s="46">
        <f>IF(B498="","",COUNTIFS('Interview Tracker'!A:A,B498))</f>
        <v/>
      </c>
      <c r="AE498" s="46" t="n"/>
      <c r="AF498" s="46" t="n"/>
      <c r="AG498" s="46" t="n"/>
    </row>
    <row r="499" ht="22" customHeight="1">
      <c r="A499" s="48">
        <f>"APP-"&amp;TEXT(ROW()-1,"000")</f>
        <v/>
      </c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  <c r="Z499" s="48" t="n"/>
      <c r="AA499" s="48" t="n"/>
      <c r="AB499" s="48">
        <f>IF(I499="","",TODAY()-I499)</f>
        <v/>
      </c>
      <c r="AC499" s="48">
        <f>IF(M499="","",M499-TODAY())</f>
        <v/>
      </c>
      <c r="AD499" s="48">
        <f>IF(B499="","",COUNTIFS('Interview Tracker'!A:A,B499))</f>
        <v/>
      </c>
      <c r="AE499" s="48" t="n"/>
      <c r="AF499" s="48" t="n"/>
      <c r="AG499" s="48" t="n"/>
    </row>
    <row r="500" ht="22" customHeight="1">
      <c r="A500" s="46">
        <f>"APP-"&amp;TEXT(ROW()-1,"000")</f>
        <v/>
      </c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  <c r="AA500" s="46" t="n"/>
      <c r="AB500" s="46">
        <f>IF(I500="","",TODAY()-I500)</f>
        <v/>
      </c>
      <c r="AC500" s="46">
        <f>IF(M500="","",M500-TODAY())</f>
        <v/>
      </c>
      <c r="AD500" s="46">
        <f>IF(B500="","",COUNTIFS('Interview Tracker'!A:A,B500))</f>
        <v/>
      </c>
      <c r="AE500" s="46" t="n"/>
      <c r="AF500" s="46" t="n"/>
      <c r="AG500" s="46" t="n"/>
    </row>
  </sheetData>
  <autoFilter ref="A1:AG500"/>
  <conditionalFormatting sqref="J2:J500">
    <cfRule type="cellIs" priority="1" operator="equal" dxfId="0">
      <formula>"Applied"</formula>
    </cfRule>
    <cfRule type="cellIs" priority="2" operator="equal" dxfId="1">
      <formula>"Screening"</formula>
    </cfRule>
    <cfRule type="cellIs" priority="3" operator="equal" dxfId="1">
      <formula>"Phone Screen"</formula>
    </cfRule>
    <cfRule type="cellIs" priority="4" operator="equal" dxfId="2">
      <formula>"Technical Interview"</formula>
    </cfRule>
    <cfRule type="cellIs" priority="5" operator="equal" dxfId="2">
      <formula>"HR Interview"</formula>
    </cfRule>
    <cfRule type="cellIs" priority="6" operator="equal" dxfId="2">
      <formula>"Final Interview"</formula>
    </cfRule>
    <cfRule type="cellIs" priority="7" operator="equal" dxfId="3">
      <formula>"Offer"</formula>
    </cfRule>
    <cfRule type="cellIs" priority="8" operator="equal" dxfId="3">
      <formula>"Accepted"</formula>
    </cfRule>
    <cfRule type="cellIs" priority="9" operator="equal" dxfId="4">
      <formula>"Rejected"</formula>
    </cfRule>
    <cfRule type="cellIs" priority="10" operator="equal" dxfId="5">
      <formula>"Ghosted"</formula>
    </cfRule>
    <cfRule type="cellIs" priority="11" operator="equal" dxfId="5">
      <formula>"Withdrawn"</formula>
    </cfRule>
  </conditionalFormatting>
  <conditionalFormatting sqref="K2:K500">
    <cfRule type="cellIs" priority="12" operator="equal" dxfId="4">
      <formula>"Critical"</formula>
    </cfRule>
    <cfRule type="cellIs" priority="13" operator="equal" dxfId="2">
      <formula>"High"</formula>
    </cfRule>
    <cfRule type="cellIs" priority="14" operator="equal" dxfId="0">
      <formula>"Medium"</formula>
    </cfRule>
    <cfRule type="cellIs" priority="15" operator="equal" dxfId="5">
      <formula>"Low"</formula>
    </cfRule>
  </conditionalFormatting>
  <conditionalFormatting sqref="L2:L500">
    <cfRule type="dataBar" priority="16">
      <dataBar>
        <cfvo type="num" val="0"/>
        <cfvo type="num" val="100"/>
        <color rgb="004A7FDB"/>
      </dataBar>
    </cfRule>
  </conditionalFormatting>
  <conditionalFormatting sqref="AC2:AC500">
    <cfRule type="cellIs" priority="17" operator="lessThan" dxfId="4">
      <formula>0</formula>
    </cfRule>
  </conditionalFormatting>
  <dataValidations count="10">
    <dataValidation sqref="J2:J500" showDropDown="0" showInputMessage="0" showErrorMessage="0" allowBlank="1" errorTitle="Invalid Entry" error="Please select a value from the dropdown" promptTitle="Choose" prompt="Select from dropdown" type="list">
      <formula1>"Applied,Screening,Phone Screen,Technical Interview,HR Interview,Final Interview,Offer,Accepted,Rejected,Ghosted,Withdrawn"</formula1>
    </dataValidation>
    <dataValidation sqref="K2:K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F2:F500" showDropDown="0" showInputMessage="0" showErrorMessage="0" allowBlank="1" errorTitle="Invalid Entry" error="Please select a value from the dropdown" promptTitle="Choose" prompt="Select from dropdown" type="list">
      <formula1>"Remote,Hybrid,Onsite,Flexible"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"LinkedIn,Indeed,AngelList,Glassdoor,Company Website,Referral,Recruiter,Job Fair,Other"</formula1>
    </dataValidation>
    <dataValidation sqref="Q2:Q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V2:V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W2:W500" showDropDown="0" showInputMessage="0" showErrorMessage="0" allowBlank="1" errorTitle="Invalid Entry" error="Please select a value from the dropdown" promptTitle="Choose" prompt="Select from dropdown" type="list">
      <formula1>"Full-time,Part-time,Contract,Internship,Freelance"</formula1>
    </dataValidation>
    <dataValidation sqref="X2:X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AE2:AE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AF2:AF500" showDropDown="0" showInputMessage="0" showErrorMessage="0" allowBlank="1" errorTitle="Invalid Entry" error="Please select a value from the dropdown" promptTitle="Choose" prompt="Select from dropdown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Q50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25" customWidth="1" min="12" max="12"/>
    <col width="25" customWidth="1" min="13" max="13"/>
    <col width="25" customWidth="1" min="14" max="14"/>
    <col width="20" customWidth="1" min="15" max="15"/>
    <col width="30" customWidth="1" min="16" max="16"/>
    <col width="30" customWidth="1" min="17" max="17"/>
  </cols>
  <sheetData>
    <row r="1" ht="28" customHeight="1">
      <c r="A1" s="45" t="inlineStr">
        <is>
          <t>Company</t>
        </is>
      </c>
      <c r="B1" s="45" t="inlineStr">
        <is>
          <t>Role</t>
        </is>
      </c>
      <c r="C1" s="45" t="inlineStr">
        <is>
          <t>Interview Stage</t>
        </is>
      </c>
      <c r="D1" s="45" t="inlineStr">
        <is>
          <t>Interviewer</t>
        </is>
      </c>
      <c r="E1" s="45" t="inlineStr">
        <is>
          <t>Interview Date</t>
        </is>
      </c>
      <c r="F1" s="45" t="inlineStr">
        <is>
          <t>Interview Number</t>
        </is>
      </c>
      <c r="G1" s="45" t="inlineStr">
        <is>
          <t>Duration (min)</t>
        </is>
      </c>
      <c r="H1" s="45" t="inlineStr">
        <is>
          <t>Preparation Status</t>
        </is>
      </c>
      <c r="I1" s="45" t="inlineStr">
        <is>
          <t>Confidence Score</t>
        </is>
      </c>
      <c r="J1" s="45" t="inlineStr">
        <is>
          <t>Difficulty</t>
        </is>
      </c>
      <c r="K1" s="45" t="inlineStr">
        <is>
          <t>Result</t>
        </is>
      </c>
      <c r="L1" s="45" t="inlineStr">
        <is>
          <t>Technical Topics</t>
        </is>
      </c>
      <c r="M1" s="45" t="inlineStr">
        <is>
          <t>Coding Questions</t>
        </is>
      </c>
      <c r="N1" s="45" t="inlineStr">
        <is>
          <t>Behavioral Questions</t>
        </is>
      </c>
      <c r="O1" s="45" t="inlineStr">
        <is>
          <t>Next Step</t>
        </is>
      </c>
      <c r="P1" s="45" t="inlineStr">
        <is>
          <t>Notes</t>
        </is>
      </c>
      <c r="Q1" s="45" t="inlineStr">
        <is>
          <t>Lessons Learned</t>
        </is>
      </c>
    </row>
    <row r="2" ht="22" customHeight="1">
      <c r="A2" s="46" t="inlineStr">
        <is>
          <t>Tech Corp</t>
        </is>
      </c>
      <c r="B2" s="46" t="inlineStr">
        <is>
          <t>Senior Frontend Developer</t>
        </is>
      </c>
      <c r="C2" s="46" t="inlineStr">
        <is>
          <t>Technical</t>
        </is>
      </c>
      <c r="D2" s="46" t="inlineStr">
        <is>
          <t>Jane Smith</t>
        </is>
      </c>
      <c r="E2" s="46" t="inlineStr"/>
      <c r="F2" s="46">
        <f>IF(A2="","",COUNTIFS($A$2:A2,A2))</f>
        <v/>
      </c>
      <c r="G2" s="46" t="inlineStr">
        <is>
          <t>Pending</t>
        </is>
      </c>
      <c r="H2" s="46" t="inlineStr"/>
      <c r="I2" s="46" t="inlineStr"/>
      <c r="J2" s="46" t="n"/>
      <c r="K2" s="46" t="inlineStr">
        <is>
          <t>Pending</t>
        </is>
      </c>
      <c r="L2" s="46" t="n"/>
      <c r="M2" s="46" t="n"/>
      <c r="N2" s="46" t="n"/>
      <c r="O2" s="46" t="n"/>
      <c r="P2" s="46" t="n"/>
      <c r="Q2" s="46" t="n"/>
    </row>
    <row r="3" ht="22" customHeight="1">
      <c r="A3" s="48" t="n"/>
      <c r="B3" s="48" t="n"/>
      <c r="C3" s="48" t="n"/>
      <c r="D3" s="48" t="n"/>
      <c r="E3" s="48" t="n"/>
      <c r="F3" s="48">
        <f>IF(A3="","",COUNTIFS($A$2:A3,A3))</f>
        <v/>
      </c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</row>
    <row r="4" ht="22" customHeight="1">
      <c r="A4" s="46" t="n"/>
      <c r="B4" s="46" t="n"/>
      <c r="C4" s="46" t="n"/>
      <c r="D4" s="46" t="n"/>
      <c r="E4" s="46" t="n"/>
      <c r="F4" s="46">
        <f>IF(A4="","",COUNTIFS($A$2:A4,A4))</f>
        <v/>
      </c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</row>
    <row r="5" ht="22" customHeight="1">
      <c r="A5" s="48" t="n"/>
      <c r="B5" s="48" t="n"/>
      <c r="C5" s="48" t="n"/>
      <c r="D5" s="48" t="n"/>
      <c r="E5" s="48" t="n"/>
      <c r="F5" s="48">
        <f>IF(A5="","",COUNTIFS($A$2:A5,A5))</f>
        <v/>
      </c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</row>
    <row r="6" ht="22" customHeight="1">
      <c r="A6" s="46" t="n"/>
      <c r="B6" s="46" t="n"/>
      <c r="C6" s="46" t="n"/>
      <c r="D6" s="46" t="n"/>
      <c r="E6" s="46" t="n"/>
      <c r="F6" s="46">
        <f>IF(A6="","",COUNTIFS($A$2:A6,A6))</f>
        <v/>
      </c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</row>
    <row r="7" ht="22" customHeight="1">
      <c r="A7" s="48" t="n"/>
      <c r="B7" s="48" t="n"/>
      <c r="C7" s="48" t="n"/>
      <c r="D7" s="48" t="n"/>
      <c r="E7" s="48" t="n"/>
      <c r="F7" s="48">
        <f>IF(A7="","",COUNTIFS($A$2:A7,A7))</f>
        <v/>
      </c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</row>
    <row r="8" ht="22" customHeight="1">
      <c r="A8" s="46" t="n"/>
      <c r="B8" s="46" t="n"/>
      <c r="C8" s="46" t="n"/>
      <c r="D8" s="46" t="n"/>
      <c r="E8" s="46" t="n"/>
      <c r="F8" s="46">
        <f>IF(A8="","",COUNTIFS($A$2:A8,A8))</f>
        <v/>
      </c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</row>
    <row r="9" ht="22" customHeight="1">
      <c r="A9" s="48" t="n"/>
      <c r="B9" s="48" t="n"/>
      <c r="C9" s="48" t="n"/>
      <c r="D9" s="48" t="n"/>
      <c r="E9" s="48" t="n"/>
      <c r="F9" s="48">
        <f>IF(A9="","",COUNTIFS($A$2:A9,A9))</f>
        <v/>
      </c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</row>
    <row r="10" ht="22" customHeight="1">
      <c r="A10" s="46" t="n"/>
      <c r="B10" s="46" t="n"/>
      <c r="C10" s="46" t="n"/>
      <c r="D10" s="46" t="n"/>
      <c r="E10" s="46" t="n"/>
      <c r="F10" s="46">
        <f>IF(A10="","",COUNTIFS($A$2:A10,A10))</f>
        <v/>
      </c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</row>
    <row r="11" ht="22" customHeight="1">
      <c r="A11" s="48" t="n"/>
      <c r="B11" s="48" t="n"/>
      <c r="C11" s="48" t="n"/>
      <c r="D11" s="48" t="n"/>
      <c r="E11" s="48" t="n"/>
      <c r="F11" s="48">
        <f>IF(A11="","",COUNTIFS($A$2:A11,A11))</f>
        <v/>
      </c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</row>
    <row r="12" ht="22" customHeight="1">
      <c r="A12" s="46" t="n"/>
      <c r="B12" s="46" t="n"/>
      <c r="C12" s="46" t="n"/>
      <c r="D12" s="46" t="n"/>
      <c r="E12" s="46" t="n"/>
      <c r="F12" s="46">
        <f>IF(A12="","",COUNTIFS($A$2:A12,A12))</f>
        <v/>
      </c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</row>
    <row r="13" ht="22" customHeight="1">
      <c r="A13" s="48" t="n"/>
      <c r="B13" s="48" t="n"/>
      <c r="C13" s="48" t="n"/>
      <c r="D13" s="48" t="n"/>
      <c r="E13" s="48" t="n"/>
      <c r="F13" s="48">
        <f>IF(A13="","",COUNTIFS($A$2:A13,A13))</f>
        <v/>
      </c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</row>
    <row r="14" ht="22" customHeight="1">
      <c r="A14" s="46" t="n"/>
      <c r="B14" s="46" t="n"/>
      <c r="C14" s="46" t="n"/>
      <c r="D14" s="46" t="n"/>
      <c r="E14" s="46" t="n"/>
      <c r="F14" s="46">
        <f>IF(A14="","",COUNTIFS($A$2:A14,A14))</f>
        <v/>
      </c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</row>
    <row r="15" ht="22" customHeight="1">
      <c r="A15" s="48" t="n"/>
      <c r="B15" s="48" t="n"/>
      <c r="C15" s="48" t="n"/>
      <c r="D15" s="48" t="n"/>
      <c r="E15" s="48" t="n"/>
      <c r="F15" s="48">
        <f>IF(A15="","",COUNTIFS($A$2:A15,A15))</f>
        <v/>
      </c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</row>
    <row r="16" ht="22" customHeight="1">
      <c r="A16" s="46" t="n"/>
      <c r="B16" s="46" t="n"/>
      <c r="C16" s="46" t="n"/>
      <c r="D16" s="46" t="n"/>
      <c r="E16" s="46" t="n"/>
      <c r="F16" s="46">
        <f>IF(A16="","",COUNTIFS($A$2:A16,A16))</f>
        <v/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</row>
    <row r="17" ht="22" customHeight="1">
      <c r="A17" s="48" t="n"/>
      <c r="B17" s="48" t="n"/>
      <c r="C17" s="48" t="n"/>
      <c r="D17" s="48" t="n"/>
      <c r="E17" s="48" t="n"/>
      <c r="F17" s="48">
        <f>IF(A17="","",COUNTIFS($A$2:A17,A17))</f>
        <v/>
      </c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</row>
    <row r="18" ht="22" customHeight="1">
      <c r="A18" s="46" t="n"/>
      <c r="B18" s="46" t="n"/>
      <c r="C18" s="46" t="n"/>
      <c r="D18" s="46" t="n"/>
      <c r="E18" s="46" t="n"/>
      <c r="F18" s="46">
        <f>IF(A18="","",COUNTIFS($A$2:A18,A18))</f>
        <v/>
      </c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</row>
    <row r="19" ht="22" customHeight="1">
      <c r="A19" s="48" t="n"/>
      <c r="B19" s="48" t="n"/>
      <c r="C19" s="48" t="n"/>
      <c r="D19" s="48" t="n"/>
      <c r="E19" s="48" t="n"/>
      <c r="F19" s="48">
        <f>IF(A19="","",COUNTIFS($A$2:A19,A19))</f>
        <v/>
      </c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</row>
    <row r="20" ht="22" customHeight="1">
      <c r="A20" s="46" t="n"/>
      <c r="B20" s="46" t="n"/>
      <c r="C20" s="46" t="n"/>
      <c r="D20" s="46" t="n"/>
      <c r="E20" s="46" t="n"/>
      <c r="F20" s="46">
        <f>IF(A20="","",COUNTIFS($A$2:A20,A20))</f>
        <v/>
      </c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</row>
    <row r="21" ht="22" customHeight="1">
      <c r="A21" s="48" t="n"/>
      <c r="B21" s="48" t="n"/>
      <c r="C21" s="48" t="n"/>
      <c r="D21" s="48" t="n"/>
      <c r="E21" s="48" t="n"/>
      <c r="F21" s="48">
        <f>IF(A21="","",COUNTIFS($A$2:A21,A21))</f>
        <v/>
      </c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 ht="22" customHeight="1">
      <c r="A22" s="46" t="n"/>
      <c r="B22" s="46" t="n"/>
      <c r="C22" s="46" t="n"/>
      <c r="D22" s="46" t="n"/>
      <c r="E22" s="46" t="n"/>
      <c r="F22" s="46">
        <f>IF(A22="","",COUNTIFS($A$2:A22,A22))</f>
        <v/>
      </c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22" customHeight="1">
      <c r="A23" s="48" t="n"/>
      <c r="B23" s="48" t="n"/>
      <c r="C23" s="48" t="n"/>
      <c r="D23" s="48" t="n"/>
      <c r="E23" s="48" t="n"/>
      <c r="F23" s="48">
        <f>IF(A23="","",COUNTIFS($A$2:A23,A23))</f>
        <v/>
      </c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</row>
    <row r="24" ht="22" customHeight="1">
      <c r="A24" s="46" t="n"/>
      <c r="B24" s="46" t="n"/>
      <c r="C24" s="46" t="n"/>
      <c r="D24" s="46" t="n"/>
      <c r="E24" s="46" t="n"/>
      <c r="F24" s="46">
        <f>IF(A24="","",COUNTIFS($A$2:A24,A24))</f>
        <v/>
      </c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22" customHeight="1">
      <c r="A25" s="48" t="n"/>
      <c r="B25" s="48" t="n"/>
      <c r="C25" s="48" t="n"/>
      <c r="D25" s="48" t="n"/>
      <c r="E25" s="48" t="n"/>
      <c r="F25" s="48">
        <f>IF(A25="","",COUNTIFS($A$2:A25,A25))</f>
        <v/>
      </c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 ht="22" customHeight="1">
      <c r="A26" s="46" t="n"/>
      <c r="B26" s="46" t="n"/>
      <c r="C26" s="46" t="n"/>
      <c r="D26" s="46" t="n"/>
      <c r="E26" s="46" t="n"/>
      <c r="F26" s="46">
        <f>IF(A26="","",COUNTIFS($A$2:A26,A26))</f>
        <v/>
      </c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</row>
    <row r="27" ht="22" customHeight="1">
      <c r="A27" s="48" t="n"/>
      <c r="B27" s="48" t="n"/>
      <c r="C27" s="48" t="n"/>
      <c r="D27" s="48" t="n"/>
      <c r="E27" s="48" t="n"/>
      <c r="F27" s="48">
        <f>IF(A27="","",COUNTIFS($A$2:A27,A27))</f>
        <v/>
      </c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 ht="22" customHeight="1">
      <c r="A28" s="46" t="n"/>
      <c r="B28" s="46" t="n"/>
      <c r="C28" s="46" t="n"/>
      <c r="D28" s="46" t="n"/>
      <c r="E28" s="46" t="n"/>
      <c r="F28" s="46">
        <f>IF(A28="","",COUNTIFS($A$2:A28,A28))</f>
        <v/>
      </c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</row>
    <row r="29" ht="22" customHeight="1">
      <c r="A29" s="48" t="n"/>
      <c r="B29" s="48" t="n"/>
      <c r="C29" s="48" t="n"/>
      <c r="D29" s="48" t="n"/>
      <c r="E29" s="48" t="n"/>
      <c r="F29" s="48">
        <f>IF(A29="","",COUNTIFS($A$2:A29,A29))</f>
        <v/>
      </c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 ht="22" customHeight="1">
      <c r="A30" s="46" t="n"/>
      <c r="B30" s="46" t="n"/>
      <c r="C30" s="46" t="n"/>
      <c r="D30" s="46" t="n"/>
      <c r="E30" s="46" t="n"/>
      <c r="F30" s="46">
        <f>IF(A30="","",COUNTIFS($A$2:A30,A30))</f>
        <v/>
      </c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</row>
    <row r="31" ht="22" customHeight="1">
      <c r="A31" s="48" t="n"/>
      <c r="B31" s="48" t="n"/>
      <c r="C31" s="48" t="n"/>
      <c r="D31" s="48" t="n"/>
      <c r="E31" s="48" t="n"/>
      <c r="F31" s="48">
        <f>IF(A31="","",COUNTIFS($A$2:A31,A31))</f>
        <v/>
      </c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 ht="22" customHeight="1">
      <c r="A32" s="46" t="n"/>
      <c r="B32" s="46" t="n"/>
      <c r="C32" s="46" t="n"/>
      <c r="D32" s="46" t="n"/>
      <c r="E32" s="46" t="n"/>
      <c r="F32" s="46">
        <f>IF(A32="","",COUNTIFS($A$2:A32,A32))</f>
        <v/>
      </c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</row>
    <row r="33" ht="22" customHeight="1">
      <c r="A33" s="48" t="n"/>
      <c r="B33" s="48" t="n"/>
      <c r="C33" s="48" t="n"/>
      <c r="D33" s="48" t="n"/>
      <c r="E33" s="48" t="n"/>
      <c r="F33" s="48">
        <f>IF(A33="","",COUNTIFS($A$2:A33,A33))</f>
        <v/>
      </c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 ht="22" customHeight="1">
      <c r="A34" s="46" t="n"/>
      <c r="B34" s="46" t="n"/>
      <c r="C34" s="46" t="n"/>
      <c r="D34" s="46" t="n"/>
      <c r="E34" s="46" t="n"/>
      <c r="F34" s="46">
        <f>IF(A34="","",COUNTIFS($A$2:A34,A34))</f>
        <v/>
      </c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</row>
    <row r="35" ht="22" customHeight="1">
      <c r="A35" s="48" t="n"/>
      <c r="B35" s="48" t="n"/>
      <c r="C35" s="48" t="n"/>
      <c r="D35" s="48" t="n"/>
      <c r="E35" s="48" t="n"/>
      <c r="F35" s="48">
        <f>IF(A35="","",COUNTIFS($A$2:A35,A35))</f>
        <v/>
      </c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 ht="22" customHeight="1">
      <c r="A36" s="46" t="n"/>
      <c r="B36" s="46" t="n"/>
      <c r="C36" s="46" t="n"/>
      <c r="D36" s="46" t="n"/>
      <c r="E36" s="46" t="n"/>
      <c r="F36" s="46">
        <f>IF(A36="","",COUNTIFS($A$2:A36,A36))</f>
        <v/>
      </c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</row>
    <row r="37" ht="22" customHeight="1">
      <c r="A37" s="48" t="n"/>
      <c r="B37" s="48" t="n"/>
      <c r="C37" s="48" t="n"/>
      <c r="D37" s="48" t="n"/>
      <c r="E37" s="48" t="n"/>
      <c r="F37" s="48">
        <f>IF(A37="","",COUNTIFS($A$2:A37,A37))</f>
        <v/>
      </c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 ht="22" customHeight="1">
      <c r="A38" s="46" t="n"/>
      <c r="B38" s="46" t="n"/>
      <c r="C38" s="46" t="n"/>
      <c r="D38" s="46" t="n"/>
      <c r="E38" s="46" t="n"/>
      <c r="F38" s="46">
        <f>IF(A38="","",COUNTIFS($A$2:A38,A38))</f>
        <v/>
      </c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</row>
    <row r="39" ht="22" customHeight="1">
      <c r="A39" s="48" t="n"/>
      <c r="B39" s="48" t="n"/>
      <c r="C39" s="48" t="n"/>
      <c r="D39" s="48" t="n"/>
      <c r="E39" s="48" t="n"/>
      <c r="F39" s="48">
        <f>IF(A39="","",COUNTIFS($A$2:A39,A39))</f>
        <v/>
      </c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 ht="22" customHeight="1">
      <c r="A40" s="46" t="n"/>
      <c r="B40" s="46" t="n"/>
      <c r="C40" s="46" t="n"/>
      <c r="D40" s="46" t="n"/>
      <c r="E40" s="46" t="n"/>
      <c r="F40" s="46">
        <f>IF(A40="","",COUNTIFS($A$2:A40,A40))</f>
        <v/>
      </c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</row>
    <row r="41" ht="22" customHeight="1">
      <c r="A41" s="48" t="n"/>
      <c r="B41" s="48" t="n"/>
      <c r="C41" s="48" t="n"/>
      <c r="D41" s="48" t="n"/>
      <c r="E41" s="48" t="n"/>
      <c r="F41" s="48">
        <f>IF(A41="","",COUNTIFS($A$2:A41,A41))</f>
        <v/>
      </c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 ht="22" customHeight="1">
      <c r="A42" s="46" t="n"/>
      <c r="B42" s="46" t="n"/>
      <c r="C42" s="46" t="n"/>
      <c r="D42" s="46" t="n"/>
      <c r="E42" s="46" t="n"/>
      <c r="F42" s="46">
        <f>IF(A42="","",COUNTIFS($A$2:A42,A42))</f>
        <v/>
      </c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</row>
    <row r="43" ht="22" customHeight="1">
      <c r="A43" s="48" t="n"/>
      <c r="B43" s="48" t="n"/>
      <c r="C43" s="48" t="n"/>
      <c r="D43" s="48" t="n"/>
      <c r="E43" s="48" t="n"/>
      <c r="F43" s="48">
        <f>IF(A43="","",COUNTIFS($A$2:A43,A43))</f>
        <v/>
      </c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 ht="22" customHeight="1">
      <c r="A44" s="46" t="n"/>
      <c r="B44" s="46" t="n"/>
      <c r="C44" s="46" t="n"/>
      <c r="D44" s="46" t="n"/>
      <c r="E44" s="46" t="n"/>
      <c r="F44" s="46">
        <f>IF(A44="","",COUNTIFS($A$2:A44,A44))</f>
        <v/>
      </c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</row>
    <row r="45" ht="22" customHeight="1">
      <c r="A45" s="48" t="n"/>
      <c r="B45" s="48" t="n"/>
      <c r="C45" s="48" t="n"/>
      <c r="D45" s="48" t="n"/>
      <c r="E45" s="48" t="n"/>
      <c r="F45" s="48">
        <f>IF(A45="","",COUNTIFS($A$2:A45,A45))</f>
        <v/>
      </c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 ht="22" customHeight="1">
      <c r="A46" s="46" t="n"/>
      <c r="B46" s="46" t="n"/>
      <c r="C46" s="46" t="n"/>
      <c r="D46" s="46" t="n"/>
      <c r="E46" s="46" t="n"/>
      <c r="F46" s="46">
        <f>IF(A46="","",COUNTIFS($A$2:A46,A46))</f>
        <v/>
      </c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</row>
    <row r="47" ht="22" customHeight="1">
      <c r="A47" s="48" t="n"/>
      <c r="B47" s="48" t="n"/>
      <c r="C47" s="48" t="n"/>
      <c r="D47" s="48" t="n"/>
      <c r="E47" s="48" t="n"/>
      <c r="F47" s="48">
        <f>IF(A47="","",COUNTIFS($A$2:A47,A47))</f>
        <v/>
      </c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 ht="22" customHeight="1">
      <c r="A48" s="46" t="n"/>
      <c r="B48" s="46" t="n"/>
      <c r="C48" s="46" t="n"/>
      <c r="D48" s="46" t="n"/>
      <c r="E48" s="46" t="n"/>
      <c r="F48" s="46">
        <f>IF(A48="","",COUNTIFS($A$2:A48,A48))</f>
        <v/>
      </c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22" customHeight="1">
      <c r="A49" s="48" t="n"/>
      <c r="B49" s="48" t="n"/>
      <c r="C49" s="48" t="n"/>
      <c r="D49" s="48" t="n"/>
      <c r="E49" s="48" t="n"/>
      <c r="F49" s="48">
        <f>IF(A49="","",COUNTIFS($A$2:A49,A49))</f>
        <v/>
      </c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</row>
    <row r="50" ht="22" customHeight="1">
      <c r="A50" s="46" t="n"/>
      <c r="B50" s="46" t="n"/>
      <c r="C50" s="46" t="n"/>
      <c r="D50" s="46" t="n"/>
      <c r="E50" s="46" t="n"/>
      <c r="F50" s="46">
        <f>IF(A50="","",COUNTIFS($A$2:A50,A50))</f>
        <v/>
      </c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22" customHeight="1">
      <c r="A51" s="48" t="n"/>
      <c r="B51" s="48" t="n"/>
      <c r="C51" s="48" t="n"/>
      <c r="D51" s="48" t="n"/>
      <c r="E51" s="48" t="n"/>
      <c r="F51" s="48">
        <f>IF(A51="","",COUNTIFS($A$2:A51,A51))</f>
        <v/>
      </c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</row>
    <row r="52" ht="22" customHeight="1">
      <c r="A52" s="46" t="n"/>
      <c r="B52" s="46" t="n"/>
      <c r="C52" s="46" t="n"/>
      <c r="D52" s="46" t="n"/>
      <c r="E52" s="46" t="n"/>
      <c r="F52" s="46">
        <f>IF(A52="","",COUNTIFS($A$2:A52,A52))</f>
        <v/>
      </c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</row>
    <row r="53" ht="22" customHeight="1">
      <c r="A53" s="48" t="n"/>
      <c r="B53" s="48" t="n"/>
      <c r="C53" s="48" t="n"/>
      <c r="D53" s="48" t="n"/>
      <c r="E53" s="48" t="n"/>
      <c r="F53" s="48">
        <f>IF(A53="","",COUNTIFS($A$2:A53,A53))</f>
        <v/>
      </c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</row>
    <row r="54" ht="22" customHeight="1">
      <c r="A54" s="46" t="n"/>
      <c r="B54" s="46" t="n"/>
      <c r="C54" s="46" t="n"/>
      <c r="D54" s="46" t="n"/>
      <c r="E54" s="46" t="n"/>
      <c r="F54" s="46">
        <f>IF(A54="","",COUNTIFS($A$2:A54,A54))</f>
        <v/>
      </c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</row>
    <row r="55" ht="22" customHeight="1">
      <c r="A55" s="48" t="n"/>
      <c r="B55" s="48" t="n"/>
      <c r="C55" s="48" t="n"/>
      <c r="D55" s="48" t="n"/>
      <c r="E55" s="48" t="n"/>
      <c r="F55" s="48">
        <f>IF(A55="","",COUNTIFS($A$2:A55,A55))</f>
        <v/>
      </c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</row>
    <row r="56" ht="22" customHeight="1">
      <c r="A56" s="46" t="n"/>
      <c r="B56" s="46" t="n"/>
      <c r="C56" s="46" t="n"/>
      <c r="D56" s="46" t="n"/>
      <c r="E56" s="46" t="n"/>
      <c r="F56" s="46">
        <f>IF(A56="","",COUNTIFS($A$2:A56,A56))</f>
        <v/>
      </c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</row>
    <row r="57" ht="22" customHeight="1">
      <c r="A57" s="48" t="n"/>
      <c r="B57" s="48" t="n"/>
      <c r="C57" s="48" t="n"/>
      <c r="D57" s="48" t="n"/>
      <c r="E57" s="48" t="n"/>
      <c r="F57" s="48">
        <f>IF(A57="","",COUNTIFS($A$2:A57,A57))</f>
        <v/>
      </c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</row>
    <row r="58" ht="22" customHeight="1">
      <c r="A58" s="46" t="n"/>
      <c r="B58" s="46" t="n"/>
      <c r="C58" s="46" t="n"/>
      <c r="D58" s="46" t="n"/>
      <c r="E58" s="46" t="n"/>
      <c r="F58" s="46">
        <f>IF(A58="","",COUNTIFS($A$2:A58,A58))</f>
        <v/>
      </c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</row>
    <row r="59" ht="22" customHeight="1">
      <c r="A59" s="48" t="n"/>
      <c r="B59" s="48" t="n"/>
      <c r="C59" s="48" t="n"/>
      <c r="D59" s="48" t="n"/>
      <c r="E59" s="48" t="n"/>
      <c r="F59" s="48">
        <f>IF(A59="","",COUNTIFS($A$2:A59,A59))</f>
        <v/>
      </c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</row>
    <row r="60" ht="22" customHeight="1">
      <c r="A60" s="46" t="n"/>
      <c r="B60" s="46" t="n"/>
      <c r="C60" s="46" t="n"/>
      <c r="D60" s="46" t="n"/>
      <c r="E60" s="46" t="n"/>
      <c r="F60" s="46">
        <f>IF(A60="","",COUNTIFS($A$2:A60,A60))</f>
        <v/>
      </c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</row>
    <row r="61" ht="22" customHeight="1">
      <c r="A61" s="48" t="n"/>
      <c r="B61" s="48" t="n"/>
      <c r="C61" s="48" t="n"/>
      <c r="D61" s="48" t="n"/>
      <c r="E61" s="48" t="n"/>
      <c r="F61" s="48">
        <f>IF(A61="","",COUNTIFS($A$2:A61,A61))</f>
        <v/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</row>
    <row r="62" ht="22" customHeight="1">
      <c r="A62" s="46" t="n"/>
      <c r="B62" s="46" t="n"/>
      <c r="C62" s="46" t="n"/>
      <c r="D62" s="46" t="n"/>
      <c r="E62" s="46" t="n"/>
      <c r="F62" s="46">
        <f>IF(A62="","",COUNTIFS($A$2:A62,A62))</f>
        <v/>
      </c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</row>
    <row r="63" ht="22" customHeight="1">
      <c r="A63" s="48" t="n"/>
      <c r="B63" s="48" t="n"/>
      <c r="C63" s="48" t="n"/>
      <c r="D63" s="48" t="n"/>
      <c r="E63" s="48" t="n"/>
      <c r="F63" s="48">
        <f>IF(A63="","",COUNTIFS($A$2:A63,A63))</f>
        <v/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</row>
    <row r="64" ht="22" customHeight="1">
      <c r="A64" s="46" t="n"/>
      <c r="B64" s="46" t="n"/>
      <c r="C64" s="46" t="n"/>
      <c r="D64" s="46" t="n"/>
      <c r="E64" s="46" t="n"/>
      <c r="F64" s="46">
        <f>IF(A64="","",COUNTIFS($A$2:A64,A64))</f>
        <v/>
      </c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</row>
    <row r="65" ht="22" customHeight="1">
      <c r="A65" s="48" t="n"/>
      <c r="B65" s="48" t="n"/>
      <c r="C65" s="48" t="n"/>
      <c r="D65" s="48" t="n"/>
      <c r="E65" s="48" t="n"/>
      <c r="F65" s="48">
        <f>IF(A65="","",COUNTIFS($A$2:A65,A65))</f>
        <v/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</row>
    <row r="66" ht="22" customHeight="1">
      <c r="A66" s="46" t="n"/>
      <c r="B66" s="46" t="n"/>
      <c r="C66" s="46" t="n"/>
      <c r="D66" s="46" t="n"/>
      <c r="E66" s="46" t="n"/>
      <c r="F66" s="46">
        <f>IF(A66="","",COUNTIFS($A$2:A66,A66))</f>
        <v/>
      </c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</row>
    <row r="67" ht="22" customHeight="1">
      <c r="A67" s="48" t="n"/>
      <c r="B67" s="48" t="n"/>
      <c r="C67" s="48" t="n"/>
      <c r="D67" s="48" t="n"/>
      <c r="E67" s="48" t="n"/>
      <c r="F67" s="48">
        <f>IF(A67="","",COUNTIFS($A$2:A67,A67))</f>
        <v/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</row>
    <row r="68" ht="22" customHeight="1">
      <c r="A68" s="46" t="n"/>
      <c r="B68" s="46" t="n"/>
      <c r="C68" s="46" t="n"/>
      <c r="D68" s="46" t="n"/>
      <c r="E68" s="46" t="n"/>
      <c r="F68" s="46">
        <f>IF(A68="","",COUNTIFS($A$2:A68,A68))</f>
        <v/>
      </c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</row>
    <row r="69" ht="22" customHeight="1">
      <c r="A69" s="48" t="n"/>
      <c r="B69" s="48" t="n"/>
      <c r="C69" s="48" t="n"/>
      <c r="D69" s="48" t="n"/>
      <c r="E69" s="48" t="n"/>
      <c r="F69" s="48">
        <f>IF(A69="","",COUNTIFS($A$2:A69,A69))</f>
        <v/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</row>
    <row r="70" ht="22" customHeight="1">
      <c r="A70" s="46" t="n"/>
      <c r="B70" s="46" t="n"/>
      <c r="C70" s="46" t="n"/>
      <c r="D70" s="46" t="n"/>
      <c r="E70" s="46" t="n"/>
      <c r="F70" s="46">
        <f>IF(A70="","",COUNTIFS($A$2:A70,A70))</f>
        <v/>
      </c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</row>
    <row r="71" ht="22" customHeight="1">
      <c r="A71" s="48" t="n"/>
      <c r="B71" s="48" t="n"/>
      <c r="C71" s="48" t="n"/>
      <c r="D71" s="48" t="n"/>
      <c r="E71" s="48" t="n"/>
      <c r="F71" s="48">
        <f>IF(A71="","",COUNTIFS($A$2:A71,A71))</f>
        <v/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</row>
    <row r="72" ht="22" customHeight="1">
      <c r="A72" s="46" t="n"/>
      <c r="B72" s="46" t="n"/>
      <c r="C72" s="46" t="n"/>
      <c r="D72" s="46" t="n"/>
      <c r="E72" s="46" t="n"/>
      <c r="F72" s="46">
        <f>IF(A72="","",COUNTIFS($A$2:A72,A72))</f>
        <v/>
      </c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</row>
    <row r="73" ht="22" customHeight="1">
      <c r="A73" s="48" t="n"/>
      <c r="B73" s="48" t="n"/>
      <c r="C73" s="48" t="n"/>
      <c r="D73" s="48" t="n"/>
      <c r="E73" s="48" t="n"/>
      <c r="F73" s="48">
        <f>IF(A73="","",COUNTIFS($A$2:A73,A73))</f>
        <v/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</row>
    <row r="74" ht="22" customHeight="1">
      <c r="A74" s="46" t="n"/>
      <c r="B74" s="46" t="n"/>
      <c r="C74" s="46" t="n"/>
      <c r="D74" s="46" t="n"/>
      <c r="E74" s="46" t="n"/>
      <c r="F74" s="46">
        <f>IF(A74="","",COUNTIFS($A$2:A74,A74))</f>
        <v/>
      </c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</row>
    <row r="75" ht="22" customHeight="1">
      <c r="A75" s="48" t="n"/>
      <c r="B75" s="48" t="n"/>
      <c r="C75" s="48" t="n"/>
      <c r="D75" s="48" t="n"/>
      <c r="E75" s="48" t="n"/>
      <c r="F75" s="48">
        <f>IF(A75="","",COUNTIFS($A$2:A75,A75))</f>
        <v/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</row>
    <row r="76" ht="22" customHeight="1">
      <c r="A76" s="46" t="n"/>
      <c r="B76" s="46" t="n"/>
      <c r="C76" s="46" t="n"/>
      <c r="D76" s="46" t="n"/>
      <c r="E76" s="46" t="n"/>
      <c r="F76" s="46">
        <f>IF(A76="","",COUNTIFS($A$2:A76,A76))</f>
        <v/>
      </c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</row>
    <row r="77" ht="22" customHeight="1">
      <c r="A77" s="48" t="n"/>
      <c r="B77" s="48" t="n"/>
      <c r="C77" s="48" t="n"/>
      <c r="D77" s="48" t="n"/>
      <c r="E77" s="48" t="n"/>
      <c r="F77" s="48">
        <f>IF(A77="","",COUNTIFS($A$2:A77,A77))</f>
        <v/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</row>
    <row r="78" ht="22" customHeight="1">
      <c r="A78" s="46" t="n"/>
      <c r="B78" s="46" t="n"/>
      <c r="C78" s="46" t="n"/>
      <c r="D78" s="46" t="n"/>
      <c r="E78" s="46" t="n"/>
      <c r="F78" s="46">
        <f>IF(A78="","",COUNTIFS($A$2:A78,A78))</f>
        <v/>
      </c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</row>
    <row r="79" ht="22" customHeight="1">
      <c r="A79" s="48" t="n"/>
      <c r="B79" s="48" t="n"/>
      <c r="C79" s="48" t="n"/>
      <c r="D79" s="48" t="n"/>
      <c r="E79" s="48" t="n"/>
      <c r="F79" s="48">
        <f>IF(A79="","",COUNTIFS($A$2:A79,A79))</f>
        <v/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</row>
    <row r="80" ht="22" customHeight="1">
      <c r="A80" s="46" t="n"/>
      <c r="B80" s="46" t="n"/>
      <c r="C80" s="46" t="n"/>
      <c r="D80" s="46" t="n"/>
      <c r="E80" s="46" t="n"/>
      <c r="F80" s="46">
        <f>IF(A80="","",COUNTIFS($A$2:A80,A80))</f>
        <v/>
      </c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</row>
    <row r="81" ht="22" customHeight="1">
      <c r="A81" s="48" t="n"/>
      <c r="B81" s="48" t="n"/>
      <c r="C81" s="48" t="n"/>
      <c r="D81" s="48" t="n"/>
      <c r="E81" s="48" t="n"/>
      <c r="F81" s="48">
        <f>IF(A81="","",COUNTIFS($A$2:A81,A81))</f>
        <v/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</row>
    <row r="82" ht="22" customHeight="1">
      <c r="A82" s="46" t="n"/>
      <c r="B82" s="46" t="n"/>
      <c r="C82" s="46" t="n"/>
      <c r="D82" s="46" t="n"/>
      <c r="E82" s="46" t="n"/>
      <c r="F82" s="46">
        <f>IF(A82="","",COUNTIFS($A$2:A82,A82))</f>
        <v/>
      </c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</row>
    <row r="83" ht="22" customHeight="1">
      <c r="A83" s="48" t="n"/>
      <c r="B83" s="48" t="n"/>
      <c r="C83" s="48" t="n"/>
      <c r="D83" s="48" t="n"/>
      <c r="E83" s="48" t="n"/>
      <c r="F83" s="48">
        <f>IF(A83="","",COUNTIFS($A$2:A83,A83))</f>
        <v/>
      </c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</row>
    <row r="84" ht="22" customHeight="1">
      <c r="A84" s="46" t="n"/>
      <c r="B84" s="46" t="n"/>
      <c r="C84" s="46" t="n"/>
      <c r="D84" s="46" t="n"/>
      <c r="E84" s="46" t="n"/>
      <c r="F84" s="46">
        <f>IF(A84="","",COUNTIFS($A$2:A84,A84))</f>
        <v/>
      </c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</row>
    <row r="85" ht="22" customHeight="1">
      <c r="A85" s="48" t="n"/>
      <c r="B85" s="48" t="n"/>
      <c r="C85" s="48" t="n"/>
      <c r="D85" s="48" t="n"/>
      <c r="E85" s="48" t="n"/>
      <c r="F85" s="48">
        <f>IF(A85="","",COUNTIFS($A$2:A85,A85))</f>
        <v/>
      </c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</row>
    <row r="86" ht="22" customHeight="1">
      <c r="A86" s="46" t="n"/>
      <c r="B86" s="46" t="n"/>
      <c r="C86" s="46" t="n"/>
      <c r="D86" s="46" t="n"/>
      <c r="E86" s="46" t="n"/>
      <c r="F86" s="46">
        <f>IF(A86="","",COUNTIFS($A$2:A86,A86))</f>
        <v/>
      </c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</row>
    <row r="87" ht="22" customHeight="1">
      <c r="A87" s="48" t="n"/>
      <c r="B87" s="48" t="n"/>
      <c r="C87" s="48" t="n"/>
      <c r="D87" s="48" t="n"/>
      <c r="E87" s="48" t="n"/>
      <c r="F87" s="48">
        <f>IF(A87="","",COUNTIFS($A$2:A87,A87))</f>
        <v/>
      </c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</row>
    <row r="88" ht="22" customHeight="1">
      <c r="A88" s="46" t="n"/>
      <c r="B88" s="46" t="n"/>
      <c r="C88" s="46" t="n"/>
      <c r="D88" s="46" t="n"/>
      <c r="E88" s="46" t="n"/>
      <c r="F88" s="46">
        <f>IF(A88="","",COUNTIFS($A$2:A88,A88))</f>
        <v/>
      </c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</row>
    <row r="89" ht="22" customHeight="1">
      <c r="A89" s="48" t="n"/>
      <c r="B89" s="48" t="n"/>
      <c r="C89" s="48" t="n"/>
      <c r="D89" s="48" t="n"/>
      <c r="E89" s="48" t="n"/>
      <c r="F89" s="48">
        <f>IF(A89="","",COUNTIFS($A$2:A89,A89))</f>
        <v/>
      </c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</row>
    <row r="90" ht="22" customHeight="1">
      <c r="A90" s="46" t="n"/>
      <c r="B90" s="46" t="n"/>
      <c r="C90" s="46" t="n"/>
      <c r="D90" s="46" t="n"/>
      <c r="E90" s="46" t="n"/>
      <c r="F90" s="46">
        <f>IF(A90="","",COUNTIFS($A$2:A90,A90))</f>
        <v/>
      </c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</row>
    <row r="91" ht="22" customHeight="1">
      <c r="A91" s="48" t="n"/>
      <c r="B91" s="48" t="n"/>
      <c r="C91" s="48" t="n"/>
      <c r="D91" s="48" t="n"/>
      <c r="E91" s="48" t="n"/>
      <c r="F91" s="48">
        <f>IF(A91="","",COUNTIFS($A$2:A91,A91))</f>
        <v/>
      </c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</row>
    <row r="92" ht="22" customHeight="1">
      <c r="A92" s="46" t="n"/>
      <c r="B92" s="46" t="n"/>
      <c r="C92" s="46" t="n"/>
      <c r="D92" s="46" t="n"/>
      <c r="E92" s="46" t="n"/>
      <c r="F92" s="46">
        <f>IF(A92="","",COUNTIFS($A$2:A92,A92))</f>
        <v/>
      </c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</row>
    <row r="93" ht="22" customHeight="1">
      <c r="A93" s="48" t="n"/>
      <c r="B93" s="48" t="n"/>
      <c r="C93" s="48" t="n"/>
      <c r="D93" s="48" t="n"/>
      <c r="E93" s="48" t="n"/>
      <c r="F93" s="48">
        <f>IF(A93="","",COUNTIFS($A$2:A93,A93))</f>
        <v/>
      </c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</row>
    <row r="94" ht="22" customHeight="1">
      <c r="A94" s="46" t="n"/>
      <c r="B94" s="46" t="n"/>
      <c r="C94" s="46" t="n"/>
      <c r="D94" s="46" t="n"/>
      <c r="E94" s="46" t="n"/>
      <c r="F94" s="46">
        <f>IF(A94="","",COUNTIFS($A$2:A94,A94))</f>
        <v/>
      </c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</row>
    <row r="95" ht="22" customHeight="1">
      <c r="A95" s="48" t="n"/>
      <c r="B95" s="48" t="n"/>
      <c r="C95" s="48" t="n"/>
      <c r="D95" s="48" t="n"/>
      <c r="E95" s="48" t="n"/>
      <c r="F95" s="48">
        <f>IF(A95="","",COUNTIFS($A$2:A95,A95))</f>
        <v/>
      </c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</row>
    <row r="96" ht="22" customHeight="1">
      <c r="A96" s="46" t="n"/>
      <c r="B96" s="46" t="n"/>
      <c r="C96" s="46" t="n"/>
      <c r="D96" s="46" t="n"/>
      <c r="E96" s="46" t="n"/>
      <c r="F96" s="46">
        <f>IF(A96="","",COUNTIFS($A$2:A96,A96))</f>
        <v/>
      </c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</row>
    <row r="97" ht="22" customHeight="1">
      <c r="A97" s="48" t="n"/>
      <c r="B97" s="48" t="n"/>
      <c r="C97" s="48" t="n"/>
      <c r="D97" s="48" t="n"/>
      <c r="E97" s="48" t="n"/>
      <c r="F97" s="48">
        <f>IF(A97="","",COUNTIFS($A$2:A97,A97))</f>
        <v/>
      </c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</row>
    <row r="98" ht="22" customHeight="1">
      <c r="A98" s="46" t="n"/>
      <c r="B98" s="46" t="n"/>
      <c r="C98" s="46" t="n"/>
      <c r="D98" s="46" t="n"/>
      <c r="E98" s="46" t="n"/>
      <c r="F98" s="46">
        <f>IF(A98="","",COUNTIFS($A$2:A98,A98))</f>
        <v/>
      </c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</row>
    <row r="99" ht="22" customHeight="1">
      <c r="A99" s="48" t="n"/>
      <c r="B99" s="48" t="n"/>
      <c r="C99" s="48" t="n"/>
      <c r="D99" s="48" t="n"/>
      <c r="E99" s="48" t="n"/>
      <c r="F99" s="48">
        <f>IF(A99="","",COUNTIFS($A$2:A99,A99))</f>
        <v/>
      </c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</row>
    <row r="100" ht="22" customHeight="1">
      <c r="A100" s="46" t="n"/>
      <c r="B100" s="46" t="n"/>
      <c r="C100" s="46" t="n"/>
      <c r="D100" s="46" t="n"/>
      <c r="E100" s="46" t="n"/>
      <c r="F100" s="46">
        <f>IF(A100="","",COUNTIFS($A$2:A100,A100))</f>
        <v/>
      </c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</row>
    <row r="101" ht="22" customHeight="1">
      <c r="A101" s="48" t="n"/>
      <c r="B101" s="48" t="n"/>
      <c r="C101" s="48" t="n"/>
      <c r="D101" s="48" t="n"/>
      <c r="E101" s="48" t="n"/>
      <c r="F101" s="48">
        <f>IF(A101="","",COUNTIFS($A$2:A101,A101))</f>
        <v/>
      </c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</row>
    <row r="102" ht="22" customHeight="1">
      <c r="A102" s="46" t="n"/>
      <c r="B102" s="46" t="n"/>
      <c r="C102" s="46" t="n"/>
      <c r="D102" s="46" t="n"/>
      <c r="E102" s="46" t="n"/>
      <c r="F102" s="46">
        <f>IF(A102="","",COUNTIFS($A$2:A102,A102))</f>
        <v/>
      </c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</row>
    <row r="103" ht="22" customHeight="1">
      <c r="A103" s="48" t="n"/>
      <c r="B103" s="48" t="n"/>
      <c r="C103" s="48" t="n"/>
      <c r="D103" s="48" t="n"/>
      <c r="E103" s="48" t="n"/>
      <c r="F103" s="48">
        <f>IF(A103="","",COUNTIFS($A$2:A103,A103))</f>
        <v/>
      </c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</row>
    <row r="104" ht="22" customHeight="1">
      <c r="A104" s="46" t="n"/>
      <c r="B104" s="46" t="n"/>
      <c r="C104" s="46" t="n"/>
      <c r="D104" s="46" t="n"/>
      <c r="E104" s="46" t="n"/>
      <c r="F104" s="46">
        <f>IF(A104="","",COUNTIFS($A$2:A104,A104))</f>
        <v/>
      </c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</row>
    <row r="105" ht="22" customHeight="1">
      <c r="A105" s="48" t="n"/>
      <c r="B105" s="48" t="n"/>
      <c r="C105" s="48" t="n"/>
      <c r="D105" s="48" t="n"/>
      <c r="E105" s="48" t="n"/>
      <c r="F105" s="48">
        <f>IF(A105="","",COUNTIFS($A$2:A105,A105))</f>
        <v/>
      </c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</row>
    <row r="106" ht="22" customHeight="1">
      <c r="A106" s="46" t="n"/>
      <c r="B106" s="46" t="n"/>
      <c r="C106" s="46" t="n"/>
      <c r="D106" s="46" t="n"/>
      <c r="E106" s="46" t="n"/>
      <c r="F106" s="46">
        <f>IF(A106="","",COUNTIFS($A$2:A106,A106))</f>
        <v/>
      </c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</row>
    <row r="107" ht="22" customHeight="1">
      <c r="A107" s="48" t="n"/>
      <c r="B107" s="48" t="n"/>
      <c r="C107" s="48" t="n"/>
      <c r="D107" s="48" t="n"/>
      <c r="E107" s="48" t="n"/>
      <c r="F107" s="48">
        <f>IF(A107="","",COUNTIFS($A$2:A107,A107))</f>
        <v/>
      </c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</row>
    <row r="108" ht="22" customHeight="1">
      <c r="A108" s="46" t="n"/>
      <c r="B108" s="46" t="n"/>
      <c r="C108" s="46" t="n"/>
      <c r="D108" s="46" t="n"/>
      <c r="E108" s="46" t="n"/>
      <c r="F108" s="46">
        <f>IF(A108="","",COUNTIFS($A$2:A108,A108))</f>
        <v/>
      </c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</row>
    <row r="109" ht="22" customHeight="1">
      <c r="A109" s="48" t="n"/>
      <c r="B109" s="48" t="n"/>
      <c r="C109" s="48" t="n"/>
      <c r="D109" s="48" t="n"/>
      <c r="E109" s="48" t="n"/>
      <c r="F109" s="48">
        <f>IF(A109="","",COUNTIFS($A$2:A109,A109))</f>
        <v/>
      </c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</row>
    <row r="110" ht="22" customHeight="1">
      <c r="A110" s="46" t="n"/>
      <c r="B110" s="46" t="n"/>
      <c r="C110" s="46" t="n"/>
      <c r="D110" s="46" t="n"/>
      <c r="E110" s="46" t="n"/>
      <c r="F110" s="46">
        <f>IF(A110="","",COUNTIFS($A$2:A110,A110))</f>
        <v/>
      </c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</row>
    <row r="111" ht="22" customHeight="1">
      <c r="A111" s="48" t="n"/>
      <c r="B111" s="48" t="n"/>
      <c r="C111" s="48" t="n"/>
      <c r="D111" s="48" t="n"/>
      <c r="E111" s="48" t="n"/>
      <c r="F111" s="48">
        <f>IF(A111="","",COUNTIFS($A$2:A111,A111))</f>
        <v/>
      </c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</row>
    <row r="112" ht="22" customHeight="1">
      <c r="A112" s="46" t="n"/>
      <c r="B112" s="46" t="n"/>
      <c r="C112" s="46" t="n"/>
      <c r="D112" s="46" t="n"/>
      <c r="E112" s="46" t="n"/>
      <c r="F112" s="46">
        <f>IF(A112="","",COUNTIFS($A$2:A112,A112))</f>
        <v/>
      </c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</row>
    <row r="113" ht="22" customHeight="1">
      <c r="A113" s="48" t="n"/>
      <c r="B113" s="48" t="n"/>
      <c r="C113" s="48" t="n"/>
      <c r="D113" s="48" t="n"/>
      <c r="E113" s="48" t="n"/>
      <c r="F113" s="48">
        <f>IF(A113="","",COUNTIFS($A$2:A113,A113))</f>
        <v/>
      </c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</row>
    <row r="114" ht="22" customHeight="1">
      <c r="A114" s="46" t="n"/>
      <c r="B114" s="46" t="n"/>
      <c r="C114" s="46" t="n"/>
      <c r="D114" s="46" t="n"/>
      <c r="E114" s="46" t="n"/>
      <c r="F114" s="46">
        <f>IF(A114="","",COUNTIFS($A$2:A114,A114))</f>
        <v/>
      </c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</row>
    <row r="115" ht="22" customHeight="1">
      <c r="A115" s="48" t="n"/>
      <c r="B115" s="48" t="n"/>
      <c r="C115" s="48" t="n"/>
      <c r="D115" s="48" t="n"/>
      <c r="E115" s="48" t="n"/>
      <c r="F115" s="48">
        <f>IF(A115="","",COUNTIFS($A$2:A115,A115))</f>
        <v/>
      </c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</row>
    <row r="116" ht="22" customHeight="1">
      <c r="A116" s="46" t="n"/>
      <c r="B116" s="46" t="n"/>
      <c r="C116" s="46" t="n"/>
      <c r="D116" s="46" t="n"/>
      <c r="E116" s="46" t="n"/>
      <c r="F116" s="46">
        <f>IF(A116="","",COUNTIFS($A$2:A116,A116))</f>
        <v/>
      </c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</row>
    <row r="117" ht="22" customHeight="1">
      <c r="A117" s="48" t="n"/>
      <c r="B117" s="48" t="n"/>
      <c r="C117" s="48" t="n"/>
      <c r="D117" s="48" t="n"/>
      <c r="E117" s="48" t="n"/>
      <c r="F117" s="48">
        <f>IF(A117="","",COUNTIFS($A$2:A117,A117))</f>
        <v/>
      </c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</row>
    <row r="118" ht="22" customHeight="1">
      <c r="A118" s="46" t="n"/>
      <c r="B118" s="46" t="n"/>
      <c r="C118" s="46" t="n"/>
      <c r="D118" s="46" t="n"/>
      <c r="E118" s="46" t="n"/>
      <c r="F118" s="46">
        <f>IF(A118="","",COUNTIFS($A$2:A118,A118))</f>
        <v/>
      </c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</row>
    <row r="119" ht="22" customHeight="1">
      <c r="A119" s="48" t="n"/>
      <c r="B119" s="48" t="n"/>
      <c r="C119" s="48" t="n"/>
      <c r="D119" s="48" t="n"/>
      <c r="E119" s="48" t="n"/>
      <c r="F119" s="48">
        <f>IF(A119="","",COUNTIFS($A$2:A119,A119))</f>
        <v/>
      </c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</row>
    <row r="120" ht="22" customHeight="1">
      <c r="A120" s="46" t="n"/>
      <c r="B120" s="46" t="n"/>
      <c r="C120" s="46" t="n"/>
      <c r="D120" s="46" t="n"/>
      <c r="E120" s="46" t="n"/>
      <c r="F120" s="46">
        <f>IF(A120="","",COUNTIFS($A$2:A120,A120))</f>
        <v/>
      </c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</row>
    <row r="121" ht="22" customHeight="1">
      <c r="A121" s="48" t="n"/>
      <c r="B121" s="48" t="n"/>
      <c r="C121" s="48" t="n"/>
      <c r="D121" s="48" t="n"/>
      <c r="E121" s="48" t="n"/>
      <c r="F121" s="48">
        <f>IF(A121="","",COUNTIFS($A$2:A121,A121))</f>
        <v/>
      </c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</row>
    <row r="122" ht="22" customHeight="1">
      <c r="A122" s="46" t="n"/>
      <c r="B122" s="46" t="n"/>
      <c r="C122" s="46" t="n"/>
      <c r="D122" s="46" t="n"/>
      <c r="E122" s="46" t="n"/>
      <c r="F122" s="46">
        <f>IF(A122="","",COUNTIFS($A$2:A122,A122))</f>
        <v/>
      </c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</row>
    <row r="123" ht="22" customHeight="1">
      <c r="A123" s="48" t="n"/>
      <c r="B123" s="48" t="n"/>
      <c r="C123" s="48" t="n"/>
      <c r="D123" s="48" t="n"/>
      <c r="E123" s="48" t="n"/>
      <c r="F123" s="48">
        <f>IF(A123="","",COUNTIFS($A$2:A123,A123))</f>
        <v/>
      </c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</row>
    <row r="124" ht="22" customHeight="1">
      <c r="A124" s="46" t="n"/>
      <c r="B124" s="46" t="n"/>
      <c r="C124" s="46" t="n"/>
      <c r="D124" s="46" t="n"/>
      <c r="E124" s="46" t="n"/>
      <c r="F124" s="46">
        <f>IF(A124="","",COUNTIFS($A$2:A124,A124))</f>
        <v/>
      </c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</row>
    <row r="125" ht="22" customHeight="1">
      <c r="A125" s="48" t="n"/>
      <c r="B125" s="48" t="n"/>
      <c r="C125" s="48" t="n"/>
      <c r="D125" s="48" t="n"/>
      <c r="E125" s="48" t="n"/>
      <c r="F125" s="48">
        <f>IF(A125="","",COUNTIFS($A$2:A125,A125))</f>
        <v/>
      </c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</row>
    <row r="126" ht="22" customHeight="1">
      <c r="A126" s="46" t="n"/>
      <c r="B126" s="46" t="n"/>
      <c r="C126" s="46" t="n"/>
      <c r="D126" s="46" t="n"/>
      <c r="E126" s="46" t="n"/>
      <c r="F126" s="46">
        <f>IF(A126="","",COUNTIFS($A$2:A126,A126))</f>
        <v/>
      </c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</row>
    <row r="127" ht="22" customHeight="1">
      <c r="A127" s="48" t="n"/>
      <c r="B127" s="48" t="n"/>
      <c r="C127" s="48" t="n"/>
      <c r="D127" s="48" t="n"/>
      <c r="E127" s="48" t="n"/>
      <c r="F127" s="48">
        <f>IF(A127="","",COUNTIFS($A$2:A127,A127))</f>
        <v/>
      </c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</row>
    <row r="128" ht="22" customHeight="1">
      <c r="A128" s="46" t="n"/>
      <c r="B128" s="46" t="n"/>
      <c r="C128" s="46" t="n"/>
      <c r="D128" s="46" t="n"/>
      <c r="E128" s="46" t="n"/>
      <c r="F128" s="46">
        <f>IF(A128="","",COUNTIFS($A$2:A128,A128))</f>
        <v/>
      </c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</row>
    <row r="129" ht="22" customHeight="1">
      <c r="A129" s="48" t="n"/>
      <c r="B129" s="48" t="n"/>
      <c r="C129" s="48" t="n"/>
      <c r="D129" s="48" t="n"/>
      <c r="E129" s="48" t="n"/>
      <c r="F129" s="48">
        <f>IF(A129="","",COUNTIFS($A$2:A129,A129))</f>
        <v/>
      </c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</row>
    <row r="130" ht="22" customHeight="1">
      <c r="A130" s="46" t="n"/>
      <c r="B130" s="46" t="n"/>
      <c r="C130" s="46" t="n"/>
      <c r="D130" s="46" t="n"/>
      <c r="E130" s="46" t="n"/>
      <c r="F130" s="46">
        <f>IF(A130="","",COUNTIFS($A$2:A130,A130))</f>
        <v/>
      </c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</row>
    <row r="131" ht="22" customHeight="1">
      <c r="A131" s="48" t="n"/>
      <c r="B131" s="48" t="n"/>
      <c r="C131" s="48" t="n"/>
      <c r="D131" s="48" t="n"/>
      <c r="E131" s="48" t="n"/>
      <c r="F131" s="48">
        <f>IF(A131="","",COUNTIFS($A$2:A131,A131))</f>
        <v/>
      </c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</row>
    <row r="132" ht="22" customHeight="1">
      <c r="A132" s="46" t="n"/>
      <c r="B132" s="46" t="n"/>
      <c r="C132" s="46" t="n"/>
      <c r="D132" s="46" t="n"/>
      <c r="E132" s="46" t="n"/>
      <c r="F132" s="46">
        <f>IF(A132="","",COUNTIFS($A$2:A132,A132))</f>
        <v/>
      </c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</row>
    <row r="133" ht="22" customHeight="1">
      <c r="A133" s="48" t="n"/>
      <c r="B133" s="48" t="n"/>
      <c r="C133" s="48" t="n"/>
      <c r="D133" s="48" t="n"/>
      <c r="E133" s="48" t="n"/>
      <c r="F133" s="48">
        <f>IF(A133="","",COUNTIFS($A$2:A133,A133))</f>
        <v/>
      </c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</row>
    <row r="134" ht="22" customHeight="1">
      <c r="A134" s="46" t="n"/>
      <c r="B134" s="46" t="n"/>
      <c r="C134" s="46" t="n"/>
      <c r="D134" s="46" t="n"/>
      <c r="E134" s="46" t="n"/>
      <c r="F134" s="46">
        <f>IF(A134="","",COUNTIFS($A$2:A134,A134))</f>
        <v/>
      </c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</row>
    <row r="135" ht="22" customHeight="1">
      <c r="A135" s="48" t="n"/>
      <c r="B135" s="48" t="n"/>
      <c r="C135" s="48" t="n"/>
      <c r="D135" s="48" t="n"/>
      <c r="E135" s="48" t="n"/>
      <c r="F135" s="48">
        <f>IF(A135="","",COUNTIFS($A$2:A135,A135))</f>
        <v/>
      </c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</row>
    <row r="136" ht="22" customHeight="1">
      <c r="A136" s="46" t="n"/>
      <c r="B136" s="46" t="n"/>
      <c r="C136" s="46" t="n"/>
      <c r="D136" s="46" t="n"/>
      <c r="E136" s="46" t="n"/>
      <c r="F136" s="46">
        <f>IF(A136="","",COUNTIFS($A$2:A136,A136))</f>
        <v/>
      </c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</row>
    <row r="137" ht="22" customHeight="1">
      <c r="A137" s="48" t="n"/>
      <c r="B137" s="48" t="n"/>
      <c r="C137" s="48" t="n"/>
      <c r="D137" s="48" t="n"/>
      <c r="E137" s="48" t="n"/>
      <c r="F137" s="48">
        <f>IF(A137="","",COUNTIFS($A$2:A137,A137))</f>
        <v/>
      </c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</row>
    <row r="138" ht="22" customHeight="1">
      <c r="A138" s="46" t="n"/>
      <c r="B138" s="46" t="n"/>
      <c r="C138" s="46" t="n"/>
      <c r="D138" s="46" t="n"/>
      <c r="E138" s="46" t="n"/>
      <c r="F138" s="46">
        <f>IF(A138="","",COUNTIFS($A$2:A138,A138))</f>
        <v/>
      </c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</row>
    <row r="139" ht="22" customHeight="1">
      <c r="A139" s="48" t="n"/>
      <c r="B139" s="48" t="n"/>
      <c r="C139" s="48" t="n"/>
      <c r="D139" s="48" t="n"/>
      <c r="E139" s="48" t="n"/>
      <c r="F139" s="48">
        <f>IF(A139="","",COUNTIFS($A$2:A139,A139))</f>
        <v/>
      </c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</row>
    <row r="140" ht="22" customHeight="1">
      <c r="A140" s="46" t="n"/>
      <c r="B140" s="46" t="n"/>
      <c r="C140" s="46" t="n"/>
      <c r="D140" s="46" t="n"/>
      <c r="E140" s="46" t="n"/>
      <c r="F140" s="46">
        <f>IF(A140="","",COUNTIFS($A$2:A140,A140))</f>
        <v/>
      </c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</row>
    <row r="141" ht="22" customHeight="1">
      <c r="A141" s="48" t="n"/>
      <c r="B141" s="48" t="n"/>
      <c r="C141" s="48" t="n"/>
      <c r="D141" s="48" t="n"/>
      <c r="E141" s="48" t="n"/>
      <c r="F141" s="48">
        <f>IF(A141="","",COUNTIFS($A$2:A141,A141))</f>
        <v/>
      </c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</row>
    <row r="142" ht="22" customHeight="1">
      <c r="A142" s="46" t="n"/>
      <c r="B142" s="46" t="n"/>
      <c r="C142" s="46" t="n"/>
      <c r="D142" s="46" t="n"/>
      <c r="E142" s="46" t="n"/>
      <c r="F142" s="46">
        <f>IF(A142="","",COUNTIFS($A$2:A142,A142))</f>
        <v/>
      </c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</row>
    <row r="143" ht="22" customHeight="1">
      <c r="A143" s="48" t="n"/>
      <c r="B143" s="48" t="n"/>
      <c r="C143" s="48" t="n"/>
      <c r="D143" s="48" t="n"/>
      <c r="E143" s="48" t="n"/>
      <c r="F143" s="48">
        <f>IF(A143="","",COUNTIFS($A$2:A143,A143))</f>
        <v/>
      </c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</row>
    <row r="144" ht="22" customHeight="1">
      <c r="A144" s="46" t="n"/>
      <c r="B144" s="46" t="n"/>
      <c r="C144" s="46" t="n"/>
      <c r="D144" s="46" t="n"/>
      <c r="E144" s="46" t="n"/>
      <c r="F144" s="46">
        <f>IF(A144="","",COUNTIFS($A$2:A144,A144))</f>
        <v/>
      </c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</row>
    <row r="145" ht="22" customHeight="1">
      <c r="A145" s="48" t="n"/>
      <c r="B145" s="48" t="n"/>
      <c r="C145" s="48" t="n"/>
      <c r="D145" s="48" t="n"/>
      <c r="E145" s="48" t="n"/>
      <c r="F145" s="48">
        <f>IF(A145="","",COUNTIFS($A$2:A145,A145))</f>
        <v/>
      </c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</row>
    <row r="146" ht="22" customHeight="1">
      <c r="A146" s="46" t="n"/>
      <c r="B146" s="46" t="n"/>
      <c r="C146" s="46" t="n"/>
      <c r="D146" s="46" t="n"/>
      <c r="E146" s="46" t="n"/>
      <c r="F146" s="46">
        <f>IF(A146="","",COUNTIFS($A$2:A146,A146))</f>
        <v/>
      </c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</row>
    <row r="147" ht="22" customHeight="1">
      <c r="A147" s="48" t="n"/>
      <c r="B147" s="48" t="n"/>
      <c r="C147" s="48" t="n"/>
      <c r="D147" s="48" t="n"/>
      <c r="E147" s="48" t="n"/>
      <c r="F147" s="48">
        <f>IF(A147="","",COUNTIFS($A$2:A147,A147))</f>
        <v/>
      </c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</row>
    <row r="148" ht="22" customHeight="1">
      <c r="A148" s="46" t="n"/>
      <c r="B148" s="46" t="n"/>
      <c r="C148" s="46" t="n"/>
      <c r="D148" s="46" t="n"/>
      <c r="E148" s="46" t="n"/>
      <c r="F148" s="46">
        <f>IF(A148="","",COUNTIFS($A$2:A148,A148))</f>
        <v/>
      </c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</row>
    <row r="149" ht="22" customHeight="1">
      <c r="A149" s="48" t="n"/>
      <c r="B149" s="48" t="n"/>
      <c r="C149" s="48" t="n"/>
      <c r="D149" s="48" t="n"/>
      <c r="E149" s="48" t="n"/>
      <c r="F149" s="48">
        <f>IF(A149="","",COUNTIFS($A$2:A149,A149))</f>
        <v/>
      </c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</row>
    <row r="150" ht="22" customHeight="1">
      <c r="A150" s="46" t="n"/>
      <c r="B150" s="46" t="n"/>
      <c r="C150" s="46" t="n"/>
      <c r="D150" s="46" t="n"/>
      <c r="E150" s="46" t="n"/>
      <c r="F150" s="46">
        <f>IF(A150="","",COUNTIFS($A$2:A150,A150))</f>
        <v/>
      </c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</row>
    <row r="151" ht="22" customHeight="1">
      <c r="A151" s="48" t="n"/>
      <c r="B151" s="48" t="n"/>
      <c r="C151" s="48" t="n"/>
      <c r="D151" s="48" t="n"/>
      <c r="E151" s="48" t="n"/>
      <c r="F151" s="48">
        <f>IF(A151="","",COUNTIFS($A$2:A151,A151))</f>
        <v/>
      </c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</row>
    <row r="152" ht="22" customHeight="1">
      <c r="A152" s="46" t="n"/>
      <c r="B152" s="46" t="n"/>
      <c r="C152" s="46" t="n"/>
      <c r="D152" s="46" t="n"/>
      <c r="E152" s="46" t="n"/>
      <c r="F152" s="46">
        <f>IF(A152="","",COUNTIFS($A$2:A152,A152))</f>
        <v/>
      </c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</row>
    <row r="153" ht="22" customHeight="1">
      <c r="A153" s="48" t="n"/>
      <c r="B153" s="48" t="n"/>
      <c r="C153" s="48" t="n"/>
      <c r="D153" s="48" t="n"/>
      <c r="E153" s="48" t="n"/>
      <c r="F153" s="48">
        <f>IF(A153="","",COUNTIFS($A$2:A153,A153))</f>
        <v/>
      </c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</row>
    <row r="154" ht="22" customHeight="1">
      <c r="A154" s="46" t="n"/>
      <c r="B154" s="46" t="n"/>
      <c r="C154" s="46" t="n"/>
      <c r="D154" s="46" t="n"/>
      <c r="E154" s="46" t="n"/>
      <c r="F154" s="46">
        <f>IF(A154="","",COUNTIFS($A$2:A154,A154))</f>
        <v/>
      </c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</row>
    <row r="155" ht="22" customHeight="1">
      <c r="A155" s="48" t="n"/>
      <c r="B155" s="48" t="n"/>
      <c r="C155" s="48" t="n"/>
      <c r="D155" s="48" t="n"/>
      <c r="E155" s="48" t="n"/>
      <c r="F155" s="48">
        <f>IF(A155="","",COUNTIFS($A$2:A155,A155))</f>
        <v/>
      </c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</row>
    <row r="156" ht="22" customHeight="1">
      <c r="A156" s="46" t="n"/>
      <c r="B156" s="46" t="n"/>
      <c r="C156" s="46" t="n"/>
      <c r="D156" s="46" t="n"/>
      <c r="E156" s="46" t="n"/>
      <c r="F156" s="46">
        <f>IF(A156="","",COUNTIFS($A$2:A156,A156))</f>
        <v/>
      </c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</row>
    <row r="157" ht="22" customHeight="1">
      <c r="A157" s="48" t="n"/>
      <c r="B157" s="48" t="n"/>
      <c r="C157" s="48" t="n"/>
      <c r="D157" s="48" t="n"/>
      <c r="E157" s="48" t="n"/>
      <c r="F157" s="48">
        <f>IF(A157="","",COUNTIFS($A$2:A157,A157))</f>
        <v/>
      </c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</row>
    <row r="158" ht="22" customHeight="1">
      <c r="A158" s="46" t="n"/>
      <c r="B158" s="46" t="n"/>
      <c r="C158" s="46" t="n"/>
      <c r="D158" s="46" t="n"/>
      <c r="E158" s="46" t="n"/>
      <c r="F158" s="46">
        <f>IF(A158="","",COUNTIFS($A$2:A158,A158))</f>
        <v/>
      </c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</row>
    <row r="159" ht="22" customHeight="1">
      <c r="A159" s="48" t="n"/>
      <c r="B159" s="48" t="n"/>
      <c r="C159" s="48" t="n"/>
      <c r="D159" s="48" t="n"/>
      <c r="E159" s="48" t="n"/>
      <c r="F159" s="48">
        <f>IF(A159="","",COUNTIFS($A$2:A159,A159))</f>
        <v/>
      </c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</row>
    <row r="160" ht="22" customHeight="1">
      <c r="A160" s="46" t="n"/>
      <c r="B160" s="46" t="n"/>
      <c r="C160" s="46" t="n"/>
      <c r="D160" s="46" t="n"/>
      <c r="E160" s="46" t="n"/>
      <c r="F160" s="46">
        <f>IF(A160="","",COUNTIFS($A$2:A160,A160))</f>
        <v/>
      </c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</row>
    <row r="161" ht="22" customHeight="1">
      <c r="A161" s="48" t="n"/>
      <c r="B161" s="48" t="n"/>
      <c r="C161" s="48" t="n"/>
      <c r="D161" s="48" t="n"/>
      <c r="E161" s="48" t="n"/>
      <c r="F161" s="48">
        <f>IF(A161="","",COUNTIFS($A$2:A161,A161))</f>
        <v/>
      </c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</row>
    <row r="162" ht="22" customHeight="1">
      <c r="A162" s="46" t="n"/>
      <c r="B162" s="46" t="n"/>
      <c r="C162" s="46" t="n"/>
      <c r="D162" s="46" t="n"/>
      <c r="E162" s="46" t="n"/>
      <c r="F162" s="46">
        <f>IF(A162="","",COUNTIFS($A$2:A162,A162))</f>
        <v/>
      </c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</row>
    <row r="163" ht="22" customHeight="1">
      <c r="A163" s="48" t="n"/>
      <c r="B163" s="48" t="n"/>
      <c r="C163" s="48" t="n"/>
      <c r="D163" s="48" t="n"/>
      <c r="E163" s="48" t="n"/>
      <c r="F163" s="48">
        <f>IF(A163="","",COUNTIFS($A$2:A163,A163))</f>
        <v/>
      </c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</row>
    <row r="164" ht="22" customHeight="1">
      <c r="A164" s="46" t="n"/>
      <c r="B164" s="46" t="n"/>
      <c r="C164" s="46" t="n"/>
      <c r="D164" s="46" t="n"/>
      <c r="E164" s="46" t="n"/>
      <c r="F164" s="46">
        <f>IF(A164="","",COUNTIFS($A$2:A164,A164))</f>
        <v/>
      </c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</row>
    <row r="165" ht="22" customHeight="1">
      <c r="A165" s="48" t="n"/>
      <c r="B165" s="48" t="n"/>
      <c r="C165" s="48" t="n"/>
      <c r="D165" s="48" t="n"/>
      <c r="E165" s="48" t="n"/>
      <c r="F165" s="48">
        <f>IF(A165="","",COUNTIFS($A$2:A165,A165))</f>
        <v/>
      </c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</row>
    <row r="166" ht="22" customHeight="1">
      <c r="A166" s="46" t="n"/>
      <c r="B166" s="46" t="n"/>
      <c r="C166" s="46" t="n"/>
      <c r="D166" s="46" t="n"/>
      <c r="E166" s="46" t="n"/>
      <c r="F166" s="46">
        <f>IF(A166="","",COUNTIFS($A$2:A166,A166))</f>
        <v/>
      </c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</row>
    <row r="167" ht="22" customHeight="1">
      <c r="A167" s="48" t="n"/>
      <c r="B167" s="48" t="n"/>
      <c r="C167" s="48" t="n"/>
      <c r="D167" s="48" t="n"/>
      <c r="E167" s="48" t="n"/>
      <c r="F167" s="48">
        <f>IF(A167="","",COUNTIFS($A$2:A167,A167))</f>
        <v/>
      </c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</row>
    <row r="168" ht="22" customHeight="1">
      <c r="A168" s="46" t="n"/>
      <c r="B168" s="46" t="n"/>
      <c r="C168" s="46" t="n"/>
      <c r="D168" s="46" t="n"/>
      <c r="E168" s="46" t="n"/>
      <c r="F168" s="46">
        <f>IF(A168="","",COUNTIFS($A$2:A168,A168))</f>
        <v/>
      </c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</row>
    <row r="169" ht="22" customHeight="1">
      <c r="A169" s="48" t="n"/>
      <c r="B169" s="48" t="n"/>
      <c r="C169" s="48" t="n"/>
      <c r="D169" s="48" t="n"/>
      <c r="E169" s="48" t="n"/>
      <c r="F169" s="48">
        <f>IF(A169="","",COUNTIFS($A$2:A169,A169))</f>
        <v/>
      </c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</row>
    <row r="170" ht="22" customHeight="1">
      <c r="A170" s="46" t="n"/>
      <c r="B170" s="46" t="n"/>
      <c r="C170" s="46" t="n"/>
      <c r="D170" s="46" t="n"/>
      <c r="E170" s="46" t="n"/>
      <c r="F170" s="46">
        <f>IF(A170="","",COUNTIFS($A$2:A170,A170))</f>
        <v/>
      </c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</row>
    <row r="171" ht="22" customHeight="1">
      <c r="A171" s="48" t="n"/>
      <c r="B171" s="48" t="n"/>
      <c r="C171" s="48" t="n"/>
      <c r="D171" s="48" t="n"/>
      <c r="E171" s="48" t="n"/>
      <c r="F171" s="48">
        <f>IF(A171="","",COUNTIFS($A$2:A171,A171))</f>
        <v/>
      </c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</row>
    <row r="172" ht="22" customHeight="1">
      <c r="A172" s="46" t="n"/>
      <c r="B172" s="46" t="n"/>
      <c r="C172" s="46" t="n"/>
      <c r="D172" s="46" t="n"/>
      <c r="E172" s="46" t="n"/>
      <c r="F172" s="46">
        <f>IF(A172="","",COUNTIFS($A$2:A172,A172))</f>
        <v/>
      </c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</row>
    <row r="173" ht="22" customHeight="1">
      <c r="A173" s="48" t="n"/>
      <c r="B173" s="48" t="n"/>
      <c r="C173" s="48" t="n"/>
      <c r="D173" s="48" t="n"/>
      <c r="E173" s="48" t="n"/>
      <c r="F173" s="48">
        <f>IF(A173="","",COUNTIFS($A$2:A173,A173))</f>
        <v/>
      </c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</row>
    <row r="174" ht="22" customHeight="1">
      <c r="A174" s="46" t="n"/>
      <c r="B174" s="46" t="n"/>
      <c r="C174" s="46" t="n"/>
      <c r="D174" s="46" t="n"/>
      <c r="E174" s="46" t="n"/>
      <c r="F174" s="46">
        <f>IF(A174="","",COUNTIFS($A$2:A174,A174))</f>
        <v/>
      </c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</row>
    <row r="175" ht="22" customHeight="1">
      <c r="A175" s="48" t="n"/>
      <c r="B175" s="48" t="n"/>
      <c r="C175" s="48" t="n"/>
      <c r="D175" s="48" t="n"/>
      <c r="E175" s="48" t="n"/>
      <c r="F175" s="48">
        <f>IF(A175="","",COUNTIFS($A$2:A175,A175))</f>
        <v/>
      </c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</row>
    <row r="176" ht="22" customHeight="1">
      <c r="A176" s="46" t="n"/>
      <c r="B176" s="46" t="n"/>
      <c r="C176" s="46" t="n"/>
      <c r="D176" s="46" t="n"/>
      <c r="E176" s="46" t="n"/>
      <c r="F176" s="46">
        <f>IF(A176="","",COUNTIFS($A$2:A176,A176))</f>
        <v/>
      </c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</row>
    <row r="177" ht="22" customHeight="1">
      <c r="A177" s="48" t="n"/>
      <c r="B177" s="48" t="n"/>
      <c r="C177" s="48" t="n"/>
      <c r="D177" s="48" t="n"/>
      <c r="E177" s="48" t="n"/>
      <c r="F177" s="48">
        <f>IF(A177="","",COUNTIFS($A$2:A177,A177))</f>
        <v/>
      </c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</row>
    <row r="178" ht="22" customHeight="1">
      <c r="A178" s="46" t="n"/>
      <c r="B178" s="46" t="n"/>
      <c r="C178" s="46" t="n"/>
      <c r="D178" s="46" t="n"/>
      <c r="E178" s="46" t="n"/>
      <c r="F178" s="46">
        <f>IF(A178="","",COUNTIFS($A$2:A178,A178))</f>
        <v/>
      </c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</row>
    <row r="179" ht="22" customHeight="1">
      <c r="A179" s="48" t="n"/>
      <c r="B179" s="48" t="n"/>
      <c r="C179" s="48" t="n"/>
      <c r="D179" s="48" t="n"/>
      <c r="E179" s="48" t="n"/>
      <c r="F179" s="48">
        <f>IF(A179="","",COUNTIFS($A$2:A179,A179))</f>
        <v/>
      </c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</row>
    <row r="180" ht="22" customHeight="1">
      <c r="A180" s="46" t="n"/>
      <c r="B180" s="46" t="n"/>
      <c r="C180" s="46" t="n"/>
      <c r="D180" s="46" t="n"/>
      <c r="E180" s="46" t="n"/>
      <c r="F180" s="46">
        <f>IF(A180="","",COUNTIFS($A$2:A180,A180))</f>
        <v/>
      </c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</row>
    <row r="181" ht="22" customHeight="1">
      <c r="A181" s="48" t="n"/>
      <c r="B181" s="48" t="n"/>
      <c r="C181" s="48" t="n"/>
      <c r="D181" s="48" t="n"/>
      <c r="E181" s="48" t="n"/>
      <c r="F181" s="48">
        <f>IF(A181="","",COUNTIFS($A$2:A181,A181))</f>
        <v/>
      </c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</row>
    <row r="182" ht="22" customHeight="1">
      <c r="A182" s="46" t="n"/>
      <c r="B182" s="46" t="n"/>
      <c r="C182" s="46" t="n"/>
      <c r="D182" s="46" t="n"/>
      <c r="E182" s="46" t="n"/>
      <c r="F182" s="46">
        <f>IF(A182="","",COUNTIFS($A$2:A182,A182))</f>
        <v/>
      </c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</row>
    <row r="183" ht="22" customHeight="1">
      <c r="A183" s="48" t="n"/>
      <c r="B183" s="48" t="n"/>
      <c r="C183" s="48" t="n"/>
      <c r="D183" s="48" t="n"/>
      <c r="E183" s="48" t="n"/>
      <c r="F183" s="48">
        <f>IF(A183="","",COUNTIFS($A$2:A183,A183))</f>
        <v/>
      </c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</row>
    <row r="184" ht="22" customHeight="1">
      <c r="A184" s="46" t="n"/>
      <c r="B184" s="46" t="n"/>
      <c r="C184" s="46" t="n"/>
      <c r="D184" s="46" t="n"/>
      <c r="E184" s="46" t="n"/>
      <c r="F184" s="46">
        <f>IF(A184="","",COUNTIFS($A$2:A184,A184))</f>
        <v/>
      </c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</row>
    <row r="185" ht="22" customHeight="1">
      <c r="A185" s="48" t="n"/>
      <c r="B185" s="48" t="n"/>
      <c r="C185" s="48" t="n"/>
      <c r="D185" s="48" t="n"/>
      <c r="E185" s="48" t="n"/>
      <c r="F185" s="48">
        <f>IF(A185="","",COUNTIFS($A$2:A185,A185))</f>
        <v/>
      </c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</row>
    <row r="186" ht="22" customHeight="1">
      <c r="A186" s="46" t="n"/>
      <c r="B186" s="46" t="n"/>
      <c r="C186" s="46" t="n"/>
      <c r="D186" s="46" t="n"/>
      <c r="E186" s="46" t="n"/>
      <c r="F186" s="46">
        <f>IF(A186="","",COUNTIFS($A$2:A186,A186))</f>
        <v/>
      </c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</row>
    <row r="187" ht="22" customHeight="1">
      <c r="A187" s="48" t="n"/>
      <c r="B187" s="48" t="n"/>
      <c r="C187" s="48" t="n"/>
      <c r="D187" s="48" t="n"/>
      <c r="E187" s="48" t="n"/>
      <c r="F187" s="48">
        <f>IF(A187="","",COUNTIFS($A$2:A187,A187))</f>
        <v/>
      </c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</row>
    <row r="188" ht="22" customHeight="1">
      <c r="A188" s="46" t="n"/>
      <c r="B188" s="46" t="n"/>
      <c r="C188" s="46" t="n"/>
      <c r="D188" s="46" t="n"/>
      <c r="E188" s="46" t="n"/>
      <c r="F188" s="46">
        <f>IF(A188="","",COUNTIFS($A$2:A188,A188))</f>
        <v/>
      </c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</row>
    <row r="189" ht="22" customHeight="1">
      <c r="A189" s="48" t="n"/>
      <c r="B189" s="48" t="n"/>
      <c r="C189" s="48" t="n"/>
      <c r="D189" s="48" t="n"/>
      <c r="E189" s="48" t="n"/>
      <c r="F189" s="48">
        <f>IF(A189="","",COUNTIFS($A$2:A189,A189))</f>
        <v/>
      </c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</row>
    <row r="190" ht="22" customHeight="1">
      <c r="A190" s="46" t="n"/>
      <c r="B190" s="46" t="n"/>
      <c r="C190" s="46" t="n"/>
      <c r="D190" s="46" t="n"/>
      <c r="E190" s="46" t="n"/>
      <c r="F190" s="46">
        <f>IF(A190="","",COUNTIFS($A$2:A190,A190))</f>
        <v/>
      </c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</row>
    <row r="191" ht="22" customHeight="1">
      <c r="A191" s="48" t="n"/>
      <c r="B191" s="48" t="n"/>
      <c r="C191" s="48" t="n"/>
      <c r="D191" s="48" t="n"/>
      <c r="E191" s="48" t="n"/>
      <c r="F191" s="48">
        <f>IF(A191="","",COUNTIFS($A$2:A191,A191))</f>
        <v/>
      </c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</row>
    <row r="192" ht="22" customHeight="1">
      <c r="A192" s="46" t="n"/>
      <c r="B192" s="46" t="n"/>
      <c r="C192" s="46" t="n"/>
      <c r="D192" s="46" t="n"/>
      <c r="E192" s="46" t="n"/>
      <c r="F192" s="46">
        <f>IF(A192="","",COUNTIFS($A$2:A192,A192))</f>
        <v/>
      </c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</row>
    <row r="193" ht="22" customHeight="1">
      <c r="A193" s="48" t="n"/>
      <c r="B193" s="48" t="n"/>
      <c r="C193" s="48" t="n"/>
      <c r="D193" s="48" t="n"/>
      <c r="E193" s="48" t="n"/>
      <c r="F193" s="48">
        <f>IF(A193="","",COUNTIFS($A$2:A193,A193))</f>
        <v/>
      </c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</row>
    <row r="194" ht="22" customHeight="1">
      <c r="A194" s="46" t="n"/>
      <c r="B194" s="46" t="n"/>
      <c r="C194" s="46" t="n"/>
      <c r="D194" s="46" t="n"/>
      <c r="E194" s="46" t="n"/>
      <c r="F194" s="46">
        <f>IF(A194="","",COUNTIFS($A$2:A194,A194))</f>
        <v/>
      </c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</row>
    <row r="195" ht="22" customHeight="1">
      <c r="A195" s="48" t="n"/>
      <c r="B195" s="48" t="n"/>
      <c r="C195" s="48" t="n"/>
      <c r="D195" s="48" t="n"/>
      <c r="E195" s="48" t="n"/>
      <c r="F195" s="48">
        <f>IF(A195="","",COUNTIFS($A$2:A195,A195))</f>
        <v/>
      </c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</row>
    <row r="196" ht="22" customHeight="1">
      <c r="A196" s="46" t="n"/>
      <c r="B196" s="46" t="n"/>
      <c r="C196" s="46" t="n"/>
      <c r="D196" s="46" t="n"/>
      <c r="E196" s="46" t="n"/>
      <c r="F196" s="46">
        <f>IF(A196="","",COUNTIFS($A$2:A196,A196))</f>
        <v/>
      </c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</row>
    <row r="197" ht="22" customHeight="1">
      <c r="A197" s="48" t="n"/>
      <c r="B197" s="48" t="n"/>
      <c r="C197" s="48" t="n"/>
      <c r="D197" s="48" t="n"/>
      <c r="E197" s="48" t="n"/>
      <c r="F197" s="48">
        <f>IF(A197="","",COUNTIFS($A$2:A197,A197))</f>
        <v/>
      </c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</row>
    <row r="198" ht="22" customHeight="1">
      <c r="A198" s="46" t="n"/>
      <c r="B198" s="46" t="n"/>
      <c r="C198" s="46" t="n"/>
      <c r="D198" s="46" t="n"/>
      <c r="E198" s="46" t="n"/>
      <c r="F198" s="46">
        <f>IF(A198="","",COUNTIFS($A$2:A198,A198))</f>
        <v/>
      </c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</row>
    <row r="199" ht="22" customHeight="1">
      <c r="A199" s="48" t="n"/>
      <c r="B199" s="48" t="n"/>
      <c r="C199" s="48" t="n"/>
      <c r="D199" s="48" t="n"/>
      <c r="E199" s="48" t="n"/>
      <c r="F199" s="48">
        <f>IF(A199="","",COUNTIFS($A$2:A199,A199))</f>
        <v/>
      </c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</row>
    <row r="200" ht="22" customHeight="1">
      <c r="A200" s="46" t="n"/>
      <c r="B200" s="46" t="n"/>
      <c r="C200" s="46" t="n"/>
      <c r="D200" s="46" t="n"/>
      <c r="E200" s="46" t="n"/>
      <c r="F200" s="46">
        <f>IF(A200="","",COUNTIFS($A$2:A200,A200))</f>
        <v/>
      </c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</row>
    <row r="201" ht="22" customHeight="1">
      <c r="A201" s="48" t="n"/>
      <c r="B201" s="48" t="n"/>
      <c r="C201" s="48" t="n"/>
      <c r="D201" s="48" t="n"/>
      <c r="E201" s="48" t="n"/>
      <c r="F201" s="48">
        <f>IF(A201="","",COUNTIFS($A$2:A201,A201))</f>
        <v/>
      </c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</row>
    <row r="202" ht="22" customHeight="1">
      <c r="A202" s="46" t="n"/>
      <c r="B202" s="46" t="n"/>
      <c r="C202" s="46" t="n"/>
      <c r="D202" s="46" t="n"/>
      <c r="E202" s="46" t="n"/>
      <c r="F202" s="46">
        <f>IF(A202="","",COUNTIFS($A$2:A202,A202))</f>
        <v/>
      </c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</row>
    <row r="203" ht="22" customHeight="1">
      <c r="A203" s="48" t="n"/>
      <c r="B203" s="48" t="n"/>
      <c r="C203" s="48" t="n"/>
      <c r="D203" s="48" t="n"/>
      <c r="E203" s="48" t="n"/>
      <c r="F203" s="48">
        <f>IF(A203="","",COUNTIFS($A$2:A203,A203))</f>
        <v/>
      </c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</row>
    <row r="204" ht="22" customHeight="1">
      <c r="A204" s="46" t="n"/>
      <c r="B204" s="46" t="n"/>
      <c r="C204" s="46" t="n"/>
      <c r="D204" s="46" t="n"/>
      <c r="E204" s="46" t="n"/>
      <c r="F204" s="46">
        <f>IF(A204="","",COUNTIFS($A$2:A204,A204))</f>
        <v/>
      </c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</row>
    <row r="205" ht="22" customHeight="1">
      <c r="A205" s="48" t="n"/>
      <c r="B205" s="48" t="n"/>
      <c r="C205" s="48" t="n"/>
      <c r="D205" s="48" t="n"/>
      <c r="E205" s="48" t="n"/>
      <c r="F205" s="48">
        <f>IF(A205="","",COUNTIFS($A$2:A205,A205))</f>
        <v/>
      </c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</row>
    <row r="206" ht="22" customHeight="1">
      <c r="A206" s="46" t="n"/>
      <c r="B206" s="46" t="n"/>
      <c r="C206" s="46" t="n"/>
      <c r="D206" s="46" t="n"/>
      <c r="E206" s="46" t="n"/>
      <c r="F206" s="46">
        <f>IF(A206="","",COUNTIFS($A$2:A206,A206))</f>
        <v/>
      </c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</row>
    <row r="207" ht="22" customHeight="1">
      <c r="A207" s="48" t="n"/>
      <c r="B207" s="48" t="n"/>
      <c r="C207" s="48" t="n"/>
      <c r="D207" s="48" t="n"/>
      <c r="E207" s="48" t="n"/>
      <c r="F207" s="48">
        <f>IF(A207="","",COUNTIFS($A$2:A207,A207))</f>
        <v/>
      </c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</row>
    <row r="208" ht="22" customHeight="1">
      <c r="A208" s="46" t="n"/>
      <c r="B208" s="46" t="n"/>
      <c r="C208" s="46" t="n"/>
      <c r="D208" s="46" t="n"/>
      <c r="E208" s="46" t="n"/>
      <c r="F208" s="46">
        <f>IF(A208="","",COUNTIFS($A$2:A208,A208))</f>
        <v/>
      </c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</row>
    <row r="209" ht="22" customHeight="1">
      <c r="A209" s="48" t="n"/>
      <c r="B209" s="48" t="n"/>
      <c r="C209" s="48" t="n"/>
      <c r="D209" s="48" t="n"/>
      <c r="E209" s="48" t="n"/>
      <c r="F209" s="48">
        <f>IF(A209="","",COUNTIFS($A$2:A209,A209))</f>
        <v/>
      </c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</row>
    <row r="210" ht="22" customHeight="1">
      <c r="A210" s="46" t="n"/>
      <c r="B210" s="46" t="n"/>
      <c r="C210" s="46" t="n"/>
      <c r="D210" s="46" t="n"/>
      <c r="E210" s="46" t="n"/>
      <c r="F210" s="46">
        <f>IF(A210="","",COUNTIFS($A$2:A210,A210))</f>
        <v/>
      </c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</row>
    <row r="211" ht="22" customHeight="1">
      <c r="A211" s="48" t="n"/>
      <c r="B211" s="48" t="n"/>
      <c r="C211" s="48" t="n"/>
      <c r="D211" s="48" t="n"/>
      <c r="E211" s="48" t="n"/>
      <c r="F211" s="48">
        <f>IF(A211="","",COUNTIFS($A$2:A211,A211))</f>
        <v/>
      </c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</row>
    <row r="212" ht="22" customHeight="1">
      <c r="A212" s="46" t="n"/>
      <c r="B212" s="46" t="n"/>
      <c r="C212" s="46" t="n"/>
      <c r="D212" s="46" t="n"/>
      <c r="E212" s="46" t="n"/>
      <c r="F212" s="46">
        <f>IF(A212="","",COUNTIFS($A$2:A212,A212))</f>
        <v/>
      </c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</row>
    <row r="213" ht="22" customHeight="1">
      <c r="A213" s="48" t="n"/>
      <c r="B213" s="48" t="n"/>
      <c r="C213" s="48" t="n"/>
      <c r="D213" s="48" t="n"/>
      <c r="E213" s="48" t="n"/>
      <c r="F213" s="48">
        <f>IF(A213="","",COUNTIFS($A$2:A213,A213))</f>
        <v/>
      </c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</row>
    <row r="214" ht="22" customHeight="1">
      <c r="A214" s="46" t="n"/>
      <c r="B214" s="46" t="n"/>
      <c r="C214" s="46" t="n"/>
      <c r="D214" s="46" t="n"/>
      <c r="E214" s="46" t="n"/>
      <c r="F214" s="46">
        <f>IF(A214="","",COUNTIFS($A$2:A214,A214))</f>
        <v/>
      </c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</row>
    <row r="215" ht="22" customHeight="1">
      <c r="A215" s="48" t="n"/>
      <c r="B215" s="48" t="n"/>
      <c r="C215" s="48" t="n"/>
      <c r="D215" s="48" t="n"/>
      <c r="E215" s="48" t="n"/>
      <c r="F215" s="48">
        <f>IF(A215="","",COUNTIFS($A$2:A215,A215))</f>
        <v/>
      </c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</row>
    <row r="216" ht="22" customHeight="1">
      <c r="A216" s="46" t="n"/>
      <c r="B216" s="46" t="n"/>
      <c r="C216" s="46" t="n"/>
      <c r="D216" s="46" t="n"/>
      <c r="E216" s="46" t="n"/>
      <c r="F216" s="46">
        <f>IF(A216="","",COUNTIFS($A$2:A216,A216))</f>
        <v/>
      </c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</row>
    <row r="217" ht="22" customHeight="1">
      <c r="A217" s="48" t="n"/>
      <c r="B217" s="48" t="n"/>
      <c r="C217" s="48" t="n"/>
      <c r="D217" s="48" t="n"/>
      <c r="E217" s="48" t="n"/>
      <c r="F217" s="48">
        <f>IF(A217="","",COUNTIFS($A$2:A217,A217))</f>
        <v/>
      </c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</row>
    <row r="218" ht="22" customHeight="1">
      <c r="A218" s="46" t="n"/>
      <c r="B218" s="46" t="n"/>
      <c r="C218" s="46" t="n"/>
      <c r="D218" s="46" t="n"/>
      <c r="E218" s="46" t="n"/>
      <c r="F218" s="46">
        <f>IF(A218="","",COUNTIFS($A$2:A218,A218))</f>
        <v/>
      </c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</row>
    <row r="219" ht="22" customHeight="1">
      <c r="A219" s="48" t="n"/>
      <c r="B219" s="48" t="n"/>
      <c r="C219" s="48" t="n"/>
      <c r="D219" s="48" t="n"/>
      <c r="E219" s="48" t="n"/>
      <c r="F219" s="48">
        <f>IF(A219="","",COUNTIFS($A$2:A219,A219))</f>
        <v/>
      </c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</row>
    <row r="220" ht="22" customHeight="1">
      <c r="A220" s="46" t="n"/>
      <c r="B220" s="46" t="n"/>
      <c r="C220" s="46" t="n"/>
      <c r="D220" s="46" t="n"/>
      <c r="E220" s="46" t="n"/>
      <c r="F220" s="46">
        <f>IF(A220="","",COUNTIFS($A$2:A220,A220))</f>
        <v/>
      </c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</row>
    <row r="221" ht="22" customHeight="1">
      <c r="A221" s="48" t="n"/>
      <c r="B221" s="48" t="n"/>
      <c r="C221" s="48" t="n"/>
      <c r="D221" s="48" t="n"/>
      <c r="E221" s="48" t="n"/>
      <c r="F221" s="48">
        <f>IF(A221="","",COUNTIFS($A$2:A221,A221))</f>
        <v/>
      </c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</row>
    <row r="222" ht="22" customHeight="1">
      <c r="A222" s="46" t="n"/>
      <c r="B222" s="46" t="n"/>
      <c r="C222" s="46" t="n"/>
      <c r="D222" s="46" t="n"/>
      <c r="E222" s="46" t="n"/>
      <c r="F222" s="46">
        <f>IF(A222="","",COUNTIFS($A$2:A222,A222))</f>
        <v/>
      </c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</row>
    <row r="223" ht="22" customHeight="1">
      <c r="A223" s="48" t="n"/>
      <c r="B223" s="48" t="n"/>
      <c r="C223" s="48" t="n"/>
      <c r="D223" s="48" t="n"/>
      <c r="E223" s="48" t="n"/>
      <c r="F223" s="48">
        <f>IF(A223="","",COUNTIFS($A$2:A223,A223))</f>
        <v/>
      </c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</row>
    <row r="224" ht="22" customHeight="1">
      <c r="A224" s="46" t="n"/>
      <c r="B224" s="46" t="n"/>
      <c r="C224" s="46" t="n"/>
      <c r="D224" s="46" t="n"/>
      <c r="E224" s="46" t="n"/>
      <c r="F224" s="46">
        <f>IF(A224="","",COUNTIFS($A$2:A224,A224))</f>
        <v/>
      </c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</row>
    <row r="225" ht="22" customHeight="1">
      <c r="A225" s="48" t="n"/>
      <c r="B225" s="48" t="n"/>
      <c r="C225" s="48" t="n"/>
      <c r="D225" s="48" t="n"/>
      <c r="E225" s="48" t="n"/>
      <c r="F225" s="48">
        <f>IF(A225="","",COUNTIFS($A$2:A225,A225))</f>
        <v/>
      </c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</row>
    <row r="226" ht="22" customHeight="1">
      <c r="A226" s="46" t="n"/>
      <c r="B226" s="46" t="n"/>
      <c r="C226" s="46" t="n"/>
      <c r="D226" s="46" t="n"/>
      <c r="E226" s="46" t="n"/>
      <c r="F226" s="46">
        <f>IF(A226="","",COUNTIFS($A$2:A226,A226))</f>
        <v/>
      </c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</row>
    <row r="227" ht="22" customHeight="1">
      <c r="A227" s="48" t="n"/>
      <c r="B227" s="48" t="n"/>
      <c r="C227" s="48" t="n"/>
      <c r="D227" s="48" t="n"/>
      <c r="E227" s="48" t="n"/>
      <c r="F227" s="48">
        <f>IF(A227="","",COUNTIFS($A$2:A227,A227))</f>
        <v/>
      </c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</row>
    <row r="228" ht="22" customHeight="1">
      <c r="A228" s="46" t="n"/>
      <c r="B228" s="46" t="n"/>
      <c r="C228" s="46" t="n"/>
      <c r="D228" s="46" t="n"/>
      <c r="E228" s="46" t="n"/>
      <c r="F228" s="46">
        <f>IF(A228="","",COUNTIFS($A$2:A228,A228))</f>
        <v/>
      </c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</row>
    <row r="229" ht="22" customHeight="1">
      <c r="A229" s="48" t="n"/>
      <c r="B229" s="48" t="n"/>
      <c r="C229" s="48" t="n"/>
      <c r="D229" s="48" t="n"/>
      <c r="E229" s="48" t="n"/>
      <c r="F229" s="48">
        <f>IF(A229="","",COUNTIFS($A$2:A229,A229))</f>
        <v/>
      </c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</row>
    <row r="230" ht="22" customHeight="1">
      <c r="A230" s="46" t="n"/>
      <c r="B230" s="46" t="n"/>
      <c r="C230" s="46" t="n"/>
      <c r="D230" s="46" t="n"/>
      <c r="E230" s="46" t="n"/>
      <c r="F230" s="46">
        <f>IF(A230="","",COUNTIFS($A$2:A230,A230))</f>
        <v/>
      </c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</row>
    <row r="231" ht="22" customHeight="1">
      <c r="A231" s="48" t="n"/>
      <c r="B231" s="48" t="n"/>
      <c r="C231" s="48" t="n"/>
      <c r="D231" s="48" t="n"/>
      <c r="E231" s="48" t="n"/>
      <c r="F231" s="48">
        <f>IF(A231="","",COUNTIFS($A$2:A231,A231))</f>
        <v/>
      </c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</row>
    <row r="232" ht="22" customHeight="1">
      <c r="A232" s="46" t="n"/>
      <c r="B232" s="46" t="n"/>
      <c r="C232" s="46" t="n"/>
      <c r="D232" s="46" t="n"/>
      <c r="E232" s="46" t="n"/>
      <c r="F232" s="46">
        <f>IF(A232="","",COUNTIFS($A$2:A232,A232))</f>
        <v/>
      </c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</row>
    <row r="233" ht="22" customHeight="1">
      <c r="A233" s="48" t="n"/>
      <c r="B233" s="48" t="n"/>
      <c r="C233" s="48" t="n"/>
      <c r="D233" s="48" t="n"/>
      <c r="E233" s="48" t="n"/>
      <c r="F233" s="48">
        <f>IF(A233="","",COUNTIFS($A$2:A233,A233))</f>
        <v/>
      </c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</row>
    <row r="234" ht="22" customHeight="1">
      <c r="A234" s="46" t="n"/>
      <c r="B234" s="46" t="n"/>
      <c r="C234" s="46" t="n"/>
      <c r="D234" s="46" t="n"/>
      <c r="E234" s="46" t="n"/>
      <c r="F234" s="46">
        <f>IF(A234="","",COUNTIFS($A$2:A234,A234))</f>
        <v/>
      </c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</row>
    <row r="235" ht="22" customHeight="1">
      <c r="A235" s="48" t="n"/>
      <c r="B235" s="48" t="n"/>
      <c r="C235" s="48" t="n"/>
      <c r="D235" s="48" t="n"/>
      <c r="E235" s="48" t="n"/>
      <c r="F235" s="48">
        <f>IF(A235="","",COUNTIFS($A$2:A235,A235))</f>
        <v/>
      </c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</row>
    <row r="236" ht="22" customHeight="1">
      <c r="A236" s="46" t="n"/>
      <c r="B236" s="46" t="n"/>
      <c r="C236" s="46" t="n"/>
      <c r="D236" s="46" t="n"/>
      <c r="E236" s="46" t="n"/>
      <c r="F236" s="46">
        <f>IF(A236="","",COUNTIFS($A$2:A236,A236))</f>
        <v/>
      </c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</row>
    <row r="237" ht="22" customHeight="1">
      <c r="A237" s="48" t="n"/>
      <c r="B237" s="48" t="n"/>
      <c r="C237" s="48" t="n"/>
      <c r="D237" s="48" t="n"/>
      <c r="E237" s="48" t="n"/>
      <c r="F237" s="48">
        <f>IF(A237="","",COUNTIFS($A$2:A237,A237))</f>
        <v/>
      </c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</row>
    <row r="238" ht="22" customHeight="1">
      <c r="A238" s="46" t="n"/>
      <c r="B238" s="46" t="n"/>
      <c r="C238" s="46" t="n"/>
      <c r="D238" s="46" t="n"/>
      <c r="E238" s="46" t="n"/>
      <c r="F238" s="46">
        <f>IF(A238="","",COUNTIFS($A$2:A238,A238))</f>
        <v/>
      </c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</row>
    <row r="239" ht="22" customHeight="1">
      <c r="A239" s="48" t="n"/>
      <c r="B239" s="48" t="n"/>
      <c r="C239" s="48" t="n"/>
      <c r="D239" s="48" t="n"/>
      <c r="E239" s="48" t="n"/>
      <c r="F239" s="48">
        <f>IF(A239="","",COUNTIFS($A$2:A239,A239))</f>
        <v/>
      </c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</row>
    <row r="240" ht="22" customHeight="1">
      <c r="A240" s="46" t="n"/>
      <c r="B240" s="46" t="n"/>
      <c r="C240" s="46" t="n"/>
      <c r="D240" s="46" t="n"/>
      <c r="E240" s="46" t="n"/>
      <c r="F240" s="46">
        <f>IF(A240="","",COUNTIFS($A$2:A240,A240))</f>
        <v/>
      </c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</row>
    <row r="241" ht="22" customHeight="1">
      <c r="A241" s="48" t="n"/>
      <c r="B241" s="48" t="n"/>
      <c r="C241" s="48" t="n"/>
      <c r="D241" s="48" t="n"/>
      <c r="E241" s="48" t="n"/>
      <c r="F241" s="48">
        <f>IF(A241="","",COUNTIFS($A$2:A241,A241))</f>
        <v/>
      </c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</row>
    <row r="242" ht="22" customHeight="1">
      <c r="A242" s="46" t="n"/>
      <c r="B242" s="46" t="n"/>
      <c r="C242" s="46" t="n"/>
      <c r="D242" s="46" t="n"/>
      <c r="E242" s="46" t="n"/>
      <c r="F242" s="46">
        <f>IF(A242="","",COUNTIFS($A$2:A242,A242))</f>
        <v/>
      </c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</row>
    <row r="243" ht="22" customHeight="1">
      <c r="A243" s="48" t="n"/>
      <c r="B243" s="48" t="n"/>
      <c r="C243" s="48" t="n"/>
      <c r="D243" s="48" t="n"/>
      <c r="E243" s="48" t="n"/>
      <c r="F243" s="48">
        <f>IF(A243="","",COUNTIFS($A$2:A243,A243))</f>
        <v/>
      </c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</row>
    <row r="244" ht="22" customHeight="1">
      <c r="A244" s="46" t="n"/>
      <c r="B244" s="46" t="n"/>
      <c r="C244" s="46" t="n"/>
      <c r="D244" s="46" t="n"/>
      <c r="E244" s="46" t="n"/>
      <c r="F244" s="46">
        <f>IF(A244="","",COUNTIFS($A$2:A244,A244))</f>
        <v/>
      </c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</row>
    <row r="245" ht="22" customHeight="1">
      <c r="A245" s="48" t="n"/>
      <c r="B245" s="48" t="n"/>
      <c r="C245" s="48" t="n"/>
      <c r="D245" s="48" t="n"/>
      <c r="E245" s="48" t="n"/>
      <c r="F245" s="48">
        <f>IF(A245="","",COUNTIFS($A$2:A245,A245))</f>
        <v/>
      </c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</row>
    <row r="246" ht="22" customHeight="1">
      <c r="A246" s="46" t="n"/>
      <c r="B246" s="46" t="n"/>
      <c r="C246" s="46" t="n"/>
      <c r="D246" s="46" t="n"/>
      <c r="E246" s="46" t="n"/>
      <c r="F246" s="46">
        <f>IF(A246="","",COUNTIFS($A$2:A246,A246))</f>
        <v/>
      </c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</row>
    <row r="247" ht="22" customHeight="1">
      <c r="A247" s="48" t="n"/>
      <c r="B247" s="48" t="n"/>
      <c r="C247" s="48" t="n"/>
      <c r="D247" s="48" t="n"/>
      <c r="E247" s="48" t="n"/>
      <c r="F247" s="48">
        <f>IF(A247="","",COUNTIFS($A$2:A247,A247))</f>
        <v/>
      </c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</row>
    <row r="248" ht="22" customHeight="1">
      <c r="A248" s="46" t="n"/>
      <c r="B248" s="46" t="n"/>
      <c r="C248" s="46" t="n"/>
      <c r="D248" s="46" t="n"/>
      <c r="E248" s="46" t="n"/>
      <c r="F248" s="46">
        <f>IF(A248="","",COUNTIFS($A$2:A248,A248))</f>
        <v/>
      </c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</row>
    <row r="249" ht="22" customHeight="1">
      <c r="A249" s="48" t="n"/>
      <c r="B249" s="48" t="n"/>
      <c r="C249" s="48" t="n"/>
      <c r="D249" s="48" t="n"/>
      <c r="E249" s="48" t="n"/>
      <c r="F249" s="48">
        <f>IF(A249="","",COUNTIFS($A$2:A249,A249))</f>
        <v/>
      </c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</row>
    <row r="250" ht="22" customHeight="1">
      <c r="A250" s="46" t="n"/>
      <c r="B250" s="46" t="n"/>
      <c r="C250" s="46" t="n"/>
      <c r="D250" s="46" t="n"/>
      <c r="E250" s="46" t="n"/>
      <c r="F250" s="46">
        <f>IF(A250="","",COUNTIFS($A$2:A250,A250))</f>
        <v/>
      </c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</row>
    <row r="251" ht="22" customHeight="1">
      <c r="A251" s="48" t="n"/>
      <c r="B251" s="48" t="n"/>
      <c r="C251" s="48" t="n"/>
      <c r="D251" s="48" t="n"/>
      <c r="E251" s="48" t="n"/>
      <c r="F251" s="48">
        <f>IF(A251="","",COUNTIFS($A$2:A251,A251))</f>
        <v/>
      </c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</row>
    <row r="252" ht="22" customHeight="1">
      <c r="A252" s="46" t="n"/>
      <c r="B252" s="46" t="n"/>
      <c r="C252" s="46" t="n"/>
      <c r="D252" s="46" t="n"/>
      <c r="E252" s="46" t="n"/>
      <c r="F252" s="46">
        <f>IF(A252="","",COUNTIFS($A$2:A252,A252))</f>
        <v/>
      </c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</row>
    <row r="253" ht="22" customHeight="1">
      <c r="A253" s="48" t="n"/>
      <c r="B253" s="48" t="n"/>
      <c r="C253" s="48" t="n"/>
      <c r="D253" s="48" t="n"/>
      <c r="E253" s="48" t="n"/>
      <c r="F253" s="48">
        <f>IF(A253="","",COUNTIFS($A$2:A253,A253))</f>
        <v/>
      </c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</row>
    <row r="254" ht="22" customHeight="1">
      <c r="A254" s="46" t="n"/>
      <c r="B254" s="46" t="n"/>
      <c r="C254" s="46" t="n"/>
      <c r="D254" s="46" t="n"/>
      <c r="E254" s="46" t="n"/>
      <c r="F254" s="46">
        <f>IF(A254="","",COUNTIFS($A$2:A254,A254))</f>
        <v/>
      </c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</row>
    <row r="255" ht="22" customHeight="1">
      <c r="A255" s="48" t="n"/>
      <c r="B255" s="48" t="n"/>
      <c r="C255" s="48" t="n"/>
      <c r="D255" s="48" t="n"/>
      <c r="E255" s="48" t="n"/>
      <c r="F255" s="48">
        <f>IF(A255="","",COUNTIFS($A$2:A255,A255))</f>
        <v/>
      </c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</row>
    <row r="256" ht="22" customHeight="1">
      <c r="A256" s="46" t="n"/>
      <c r="B256" s="46" t="n"/>
      <c r="C256" s="46" t="n"/>
      <c r="D256" s="46" t="n"/>
      <c r="E256" s="46" t="n"/>
      <c r="F256" s="46">
        <f>IF(A256="","",COUNTIFS($A$2:A256,A256))</f>
        <v/>
      </c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</row>
    <row r="257" ht="22" customHeight="1">
      <c r="A257" s="48" t="n"/>
      <c r="B257" s="48" t="n"/>
      <c r="C257" s="48" t="n"/>
      <c r="D257" s="48" t="n"/>
      <c r="E257" s="48" t="n"/>
      <c r="F257" s="48">
        <f>IF(A257="","",COUNTIFS($A$2:A257,A257))</f>
        <v/>
      </c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</row>
    <row r="258" ht="22" customHeight="1">
      <c r="A258" s="46" t="n"/>
      <c r="B258" s="46" t="n"/>
      <c r="C258" s="46" t="n"/>
      <c r="D258" s="46" t="n"/>
      <c r="E258" s="46" t="n"/>
      <c r="F258" s="46">
        <f>IF(A258="","",COUNTIFS($A$2:A258,A258))</f>
        <v/>
      </c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</row>
    <row r="259" ht="22" customHeight="1">
      <c r="A259" s="48" t="n"/>
      <c r="B259" s="48" t="n"/>
      <c r="C259" s="48" t="n"/>
      <c r="D259" s="48" t="n"/>
      <c r="E259" s="48" t="n"/>
      <c r="F259" s="48">
        <f>IF(A259="","",COUNTIFS($A$2:A259,A259))</f>
        <v/>
      </c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</row>
    <row r="260" ht="22" customHeight="1">
      <c r="A260" s="46" t="n"/>
      <c r="B260" s="46" t="n"/>
      <c r="C260" s="46" t="n"/>
      <c r="D260" s="46" t="n"/>
      <c r="E260" s="46" t="n"/>
      <c r="F260" s="46">
        <f>IF(A260="","",COUNTIFS($A$2:A260,A260))</f>
        <v/>
      </c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</row>
    <row r="261" ht="22" customHeight="1">
      <c r="A261" s="48" t="n"/>
      <c r="B261" s="48" t="n"/>
      <c r="C261" s="48" t="n"/>
      <c r="D261" s="48" t="n"/>
      <c r="E261" s="48" t="n"/>
      <c r="F261" s="48">
        <f>IF(A261="","",COUNTIFS($A$2:A261,A261))</f>
        <v/>
      </c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</row>
    <row r="262" ht="22" customHeight="1">
      <c r="A262" s="46" t="n"/>
      <c r="B262" s="46" t="n"/>
      <c r="C262" s="46" t="n"/>
      <c r="D262" s="46" t="n"/>
      <c r="E262" s="46" t="n"/>
      <c r="F262" s="46">
        <f>IF(A262="","",COUNTIFS($A$2:A262,A262))</f>
        <v/>
      </c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</row>
    <row r="263" ht="22" customHeight="1">
      <c r="A263" s="48" t="n"/>
      <c r="B263" s="48" t="n"/>
      <c r="C263" s="48" t="n"/>
      <c r="D263" s="48" t="n"/>
      <c r="E263" s="48" t="n"/>
      <c r="F263" s="48">
        <f>IF(A263="","",COUNTIFS($A$2:A263,A263))</f>
        <v/>
      </c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</row>
    <row r="264" ht="22" customHeight="1">
      <c r="A264" s="46" t="n"/>
      <c r="B264" s="46" t="n"/>
      <c r="C264" s="46" t="n"/>
      <c r="D264" s="46" t="n"/>
      <c r="E264" s="46" t="n"/>
      <c r="F264" s="46">
        <f>IF(A264="","",COUNTIFS($A$2:A264,A264))</f>
        <v/>
      </c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</row>
    <row r="265" ht="22" customHeight="1">
      <c r="A265" s="48" t="n"/>
      <c r="B265" s="48" t="n"/>
      <c r="C265" s="48" t="n"/>
      <c r="D265" s="48" t="n"/>
      <c r="E265" s="48" t="n"/>
      <c r="F265" s="48">
        <f>IF(A265="","",COUNTIFS($A$2:A265,A265))</f>
        <v/>
      </c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</row>
    <row r="266" ht="22" customHeight="1">
      <c r="A266" s="46" t="n"/>
      <c r="B266" s="46" t="n"/>
      <c r="C266" s="46" t="n"/>
      <c r="D266" s="46" t="n"/>
      <c r="E266" s="46" t="n"/>
      <c r="F266" s="46">
        <f>IF(A266="","",COUNTIFS($A$2:A266,A266))</f>
        <v/>
      </c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</row>
    <row r="267" ht="22" customHeight="1">
      <c r="A267" s="48" t="n"/>
      <c r="B267" s="48" t="n"/>
      <c r="C267" s="48" t="n"/>
      <c r="D267" s="48" t="n"/>
      <c r="E267" s="48" t="n"/>
      <c r="F267" s="48">
        <f>IF(A267="","",COUNTIFS($A$2:A267,A267))</f>
        <v/>
      </c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</row>
    <row r="268" ht="22" customHeight="1">
      <c r="A268" s="46" t="n"/>
      <c r="B268" s="46" t="n"/>
      <c r="C268" s="46" t="n"/>
      <c r="D268" s="46" t="n"/>
      <c r="E268" s="46" t="n"/>
      <c r="F268" s="46">
        <f>IF(A268="","",COUNTIFS($A$2:A268,A268))</f>
        <v/>
      </c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</row>
    <row r="269" ht="22" customHeight="1">
      <c r="A269" s="48" t="n"/>
      <c r="B269" s="48" t="n"/>
      <c r="C269" s="48" t="n"/>
      <c r="D269" s="48" t="n"/>
      <c r="E269" s="48" t="n"/>
      <c r="F269" s="48">
        <f>IF(A269="","",COUNTIFS($A$2:A269,A269))</f>
        <v/>
      </c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</row>
    <row r="270" ht="22" customHeight="1">
      <c r="A270" s="46" t="n"/>
      <c r="B270" s="46" t="n"/>
      <c r="C270" s="46" t="n"/>
      <c r="D270" s="46" t="n"/>
      <c r="E270" s="46" t="n"/>
      <c r="F270" s="46">
        <f>IF(A270="","",COUNTIFS($A$2:A270,A270))</f>
        <v/>
      </c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</row>
    <row r="271" ht="22" customHeight="1">
      <c r="A271" s="48" t="n"/>
      <c r="B271" s="48" t="n"/>
      <c r="C271" s="48" t="n"/>
      <c r="D271" s="48" t="n"/>
      <c r="E271" s="48" t="n"/>
      <c r="F271" s="48">
        <f>IF(A271="","",COUNTIFS($A$2:A271,A271))</f>
        <v/>
      </c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</row>
    <row r="272" ht="22" customHeight="1">
      <c r="A272" s="46" t="n"/>
      <c r="B272" s="46" t="n"/>
      <c r="C272" s="46" t="n"/>
      <c r="D272" s="46" t="n"/>
      <c r="E272" s="46" t="n"/>
      <c r="F272" s="46">
        <f>IF(A272="","",COUNTIFS($A$2:A272,A272))</f>
        <v/>
      </c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</row>
    <row r="273" ht="22" customHeight="1">
      <c r="A273" s="48" t="n"/>
      <c r="B273" s="48" t="n"/>
      <c r="C273" s="48" t="n"/>
      <c r="D273" s="48" t="n"/>
      <c r="E273" s="48" t="n"/>
      <c r="F273" s="48">
        <f>IF(A273="","",COUNTIFS($A$2:A273,A273))</f>
        <v/>
      </c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</row>
    <row r="274" ht="22" customHeight="1">
      <c r="A274" s="46" t="n"/>
      <c r="B274" s="46" t="n"/>
      <c r="C274" s="46" t="n"/>
      <c r="D274" s="46" t="n"/>
      <c r="E274" s="46" t="n"/>
      <c r="F274" s="46">
        <f>IF(A274="","",COUNTIFS($A$2:A274,A274))</f>
        <v/>
      </c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</row>
    <row r="275" ht="22" customHeight="1">
      <c r="A275" s="48" t="n"/>
      <c r="B275" s="48" t="n"/>
      <c r="C275" s="48" t="n"/>
      <c r="D275" s="48" t="n"/>
      <c r="E275" s="48" t="n"/>
      <c r="F275" s="48">
        <f>IF(A275="","",COUNTIFS($A$2:A275,A275))</f>
        <v/>
      </c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</row>
    <row r="276" ht="22" customHeight="1">
      <c r="A276" s="46" t="n"/>
      <c r="B276" s="46" t="n"/>
      <c r="C276" s="46" t="n"/>
      <c r="D276" s="46" t="n"/>
      <c r="E276" s="46" t="n"/>
      <c r="F276" s="46">
        <f>IF(A276="","",COUNTIFS($A$2:A276,A276))</f>
        <v/>
      </c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</row>
    <row r="277" ht="22" customHeight="1">
      <c r="A277" s="48" t="n"/>
      <c r="B277" s="48" t="n"/>
      <c r="C277" s="48" t="n"/>
      <c r="D277" s="48" t="n"/>
      <c r="E277" s="48" t="n"/>
      <c r="F277" s="48">
        <f>IF(A277="","",COUNTIFS($A$2:A277,A277))</f>
        <v/>
      </c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</row>
    <row r="278" ht="22" customHeight="1">
      <c r="A278" s="46" t="n"/>
      <c r="B278" s="46" t="n"/>
      <c r="C278" s="46" t="n"/>
      <c r="D278" s="46" t="n"/>
      <c r="E278" s="46" t="n"/>
      <c r="F278" s="46">
        <f>IF(A278="","",COUNTIFS($A$2:A278,A278))</f>
        <v/>
      </c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</row>
    <row r="279" ht="22" customHeight="1">
      <c r="A279" s="48" t="n"/>
      <c r="B279" s="48" t="n"/>
      <c r="C279" s="48" t="n"/>
      <c r="D279" s="48" t="n"/>
      <c r="E279" s="48" t="n"/>
      <c r="F279" s="48">
        <f>IF(A279="","",COUNTIFS($A$2:A279,A279))</f>
        <v/>
      </c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</row>
    <row r="280" ht="22" customHeight="1">
      <c r="A280" s="46" t="n"/>
      <c r="B280" s="46" t="n"/>
      <c r="C280" s="46" t="n"/>
      <c r="D280" s="46" t="n"/>
      <c r="E280" s="46" t="n"/>
      <c r="F280" s="46">
        <f>IF(A280="","",COUNTIFS($A$2:A280,A280))</f>
        <v/>
      </c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</row>
    <row r="281" ht="22" customHeight="1">
      <c r="A281" s="48" t="n"/>
      <c r="B281" s="48" t="n"/>
      <c r="C281" s="48" t="n"/>
      <c r="D281" s="48" t="n"/>
      <c r="E281" s="48" t="n"/>
      <c r="F281" s="48">
        <f>IF(A281="","",COUNTIFS($A$2:A281,A281))</f>
        <v/>
      </c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</row>
    <row r="282" ht="22" customHeight="1">
      <c r="A282" s="46" t="n"/>
      <c r="B282" s="46" t="n"/>
      <c r="C282" s="46" t="n"/>
      <c r="D282" s="46" t="n"/>
      <c r="E282" s="46" t="n"/>
      <c r="F282" s="46">
        <f>IF(A282="","",COUNTIFS($A$2:A282,A282))</f>
        <v/>
      </c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</row>
    <row r="283" ht="22" customHeight="1">
      <c r="A283" s="48" t="n"/>
      <c r="B283" s="48" t="n"/>
      <c r="C283" s="48" t="n"/>
      <c r="D283" s="48" t="n"/>
      <c r="E283" s="48" t="n"/>
      <c r="F283" s="48">
        <f>IF(A283="","",COUNTIFS($A$2:A283,A283))</f>
        <v/>
      </c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</row>
    <row r="284" ht="22" customHeight="1">
      <c r="A284" s="46" t="n"/>
      <c r="B284" s="46" t="n"/>
      <c r="C284" s="46" t="n"/>
      <c r="D284" s="46" t="n"/>
      <c r="E284" s="46" t="n"/>
      <c r="F284" s="46">
        <f>IF(A284="","",COUNTIFS($A$2:A284,A284))</f>
        <v/>
      </c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</row>
    <row r="285" ht="22" customHeight="1">
      <c r="A285" s="48" t="n"/>
      <c r="B285" s="48" t="n"/>
      <c r="C285" s="48" t="n"/>
      <c r="D285" s="48" t="n"/>
      <c r="E285" s="48" t="n"/>
      <c r="F285" s="48">
        <f>IF(A285="","",COUNTIFS($A$2:A285,A285))</f>
        <v/>
      </c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</row>
    <row r="286" ht="22" customHeight="1">
      <c r="A286" s="46" t="n"/>
      <c r="B286" s="46" t="n"/>
      <c r="C286" s="46" t="n"/>
      <c r="D286" s="46" t="n"/>
      <c r="E286" s="46" t="n"/>
      <c r="F286" s="46">
        <f>IF(A286="","",COUNTIFS($A$2:A286,A286))</f>
        <v/>
      </c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</row>
    <row r="287" ht="22" customHeight="1">
      <c r="A287" s="48" t="n"/>
      <c r="B287" s="48" t="n"/>
      <c r="C287" s="48" t="n"/>
      <c r="D287" s="48" t="n"/>
      <c r="E287" s="48" t="n"/>
      <c r="F287" s="48">
        <f>IF(A287="","",COUNTIFS($A$2:A287,A287))</f>
        <v/>
      </c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</row>
    <row r="288" ht="22" customHeight="1">
      <c r="A288" s="46" t="n"/>
      <c r="B288" s="46" t="n"/>
      <c r="C288" s="46" t="n"/>
      <c r="D288" s="46" t="n"/>
      <c r="E288" s="46" t="n"/>
      <c r="F288" s="46">
        <f>IF(A288="","",COUNTIFS($A$2:A288,A288))</f>
        <v/>
      </c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</row>
    <row r="289" ht="22" customHeight="1">
      <c r="A289" s="48" t="n"/>
      <c r="B289" s="48" t="n"/>
      <c r="C289" s="48" t="n"/>
      <c r="D289" s="48" t="n"/>
      <c r="E289" s="48" t="n"/>
      <c r="F289" s="48">
        <f>IF(A289="","",COUNTIFS($A$2:A289,A289))</f>
        <v/>
      </c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</row>
    <row r="290" ht="22" customHeight="1">
      <c r="A290" s="46" t="n"/>
      <c r="B290" s="46" t="n"/>
      <c r="C290" s="46" t="n"/>
      <c r="D290" s="46" t="n"/>
      <c r="E290" s="46" t="n"/>
      <c r="F290" s="46">
        <f>IF(A290="","",COUNTIFS($A$2:A290,A290))</f>
        <v/>
      </c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</row>
    <row r="291" ht="22" customHeight="1">
      <c r="A291" s="48" t="n"/>
      <c r="B291" s="48" t="n"/>
      <c r="C291" s="48" t="n"/>
      <c r="D291" s="48" t="n"/>
      <c r="E291" s="48" t="n"/>
      <c r="F291" s="48">
        <f>IF(A291="","",COUNTIFS($A$2:A291,A291))</f>
        <v/>
      </c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</row>
    <row r="292" ht="22" customHeight="1">
      <c r="A292" s="46" t="n"/>
      <c r="B292" s="46" t="n"/>
      <c r="C292" s="46" t="n"/>
      <c r="D292" s="46" t="n"/>
      <c r="E292" s="46" t="n"/>
      <c r="F292" s="46">
        <f>IF(A292="","",COUNTIFS($A$2:A292,A292))</f>
        <v/>
      </c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</row>
    <row r="293" ht="22" customHeight="1">
      <c r="A293" s="48" t="n"/>
      <c r="B293" s="48" t="n"/>
      <c r="C293" s="48" t="n"/>
      <c r="D293" s="48" t="n"/>
      <c r="E293" s="48" t="n"/>
      <c r="F293" s="48">
        <f>IF(A293="","",COUNTIFS($A$2:A293,A293))</f>
        <v/>
      </c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</row>
    <row r="294" ht="22" customHeight="1">
      <c r="A294" s="46" t="n"/>
      <c r="B294" s="46" t="n"/>
      <c r="C294" s="46" t="n"/>
      <c r="D294" s="46" t="n"/>
      <c r="E294" s="46" t="n"/>
      <c r="F294" s="46">
        <f>IF(A294="","",COUNTIFS($A$2:A294,A294))</f>
        <v/>
      </c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</row>
    <row r="295" ht="22" customHeight="1">
      <c r="A295" s="48" t="n"/>
      <c r="B295" s="48" t="n"/>
      <c r="C295" s="48" t="n"/>
      <c r="D295" s="48" t="n"/>
      <c r="E295" s="48" t="n"/>
      <c r="F295" s="48">
        <f>IF(A295="","",COUNTIFS($A$2:A295,A295))</f>
        <v/>
      </c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</row>
    <row r="296" ht="22" customHeight="1">
      <c r="A296" s="46" t="n"/>
      <c r="B296" s="46" t="n"/>
      <c r="C296" s="46" t="n"/>
      <c r="D296" s="46" t="n"/>
      <c r="E296" s="46" t="n"/>
      <c r="F296" s="46">
        <f>IF(A296="","",COUNTIFS($A$2:A296,A296))</f>
        <v/>
      </c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</row>
    <row r="297" ht="22" customHeight="1">
      <c r="A297" s="48" t="n"/>
      <c r="B297" s="48" t="n"/>
      <c r="C297" s="48" t="n"/>
      <c r="D297" s="48" t="n"/>
      <c r="E297" s="48" t="n"/>
      <c r="F297" s="48">
        <f>IF(A297="","",COUNTIFS($A$2:A297,A297))</f>
        <v/>
      </c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</row>
    <row r="298" ht="22" customHeight="1">
      <c r="A298" s="46" t="n"/>
      <c r="B298" s="46" t="n"/>
      <c r="C298" s="46" t="n"/>
      <c r="D298" s="46" t="n"/>
      <c r="E298" s="46" t="n"/>
      <c r="F298" s="46">
        <f>IF(A298="","",COUNTIFS($A$2:A298,A298))</f>
        <v/>
      </c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</row>
    <row r="299" ht="22" customHeight="1">
      <c r="A299" s="48" t="n"/>
      <c r="B299" s="48" t="n"/>
      <c r="C299" s="48" t="n"/>
      <c r="D299" s="48" t="n"/>
      <c r="E299" s="48" t="n"/>
      <c r="F299" s="48">
        <f>IF(A299="","",COUNTIFS($A$2:A299,A299))</f>
        <v/>
      </c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</row>
    <row r="300" ht="22" customHeight="1">
      <c r="A300" s="46" t="n"/>
      <c r="B300" s="46" t="n"/>
      <c r="C300" s="46" t="n"/>
      <c r="D300" s="46" t="n"/>
      <c r="E300" s="46" t="n"/>
      <c r="F300" s="46">
        <f>IF(A300="","",COUNTIFS($A$2:A300,A300))</f>
        <v/>
      </c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</row>
    <row r="301" ht="22" customHeight="1">
      <c r="A301" s="48" t="n"/>
      <c r="B301" s="48" t="n"/>
      <c r="C301" s="48" t="n"/>
      <c r="D301" s="48" t="n"/>
      <c r="E301" s="48" t="n"/>
      <c r="F301" s="48">
        <f>IF(A301="","",COUNTIFS($A$2:A301,A301))</f>
        <v/>
      </c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</row>
    <row r="302" ht="22" customHeight="1">
      <c r="A302" s="46" t="n"/>
      <c r="B302" s="46" t="n"/>
      <c r="C302" s="46" t="n"/>
      <c r="D302" s="46" t="n"/>
      <c r="E302" s="46" t="n"/>
      <c r="F302" s="46">
        <f>IF(A302="","",COUNTIFS($A$2:A302,A302))</f>
        <v/>
      </c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</row>
    <row r="303" ht="22" customHeight="1">
      <c r="A303" s="48" t="n"/>
      <c r="B303" s="48" t="n"/>
      <c r="C303" s="48" t="n"/>
      <c r="D303" s="48" t="n"/>
      <c r="E303" s="48" t="n"/>
      <c r="F303" s="48">
        <f>IF(A303="","",COUNTIFS($A$2:A303,A303))</f>
        <v/>
      </c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</row>
    <row r="304" ht="22" customHeight="1">
      <c r="A304" s="46" t="n"/>
      <c r="B304" s="46" t="n"/>
      <c r="C304" s="46" t="n"/>
      <c r="D304" s="46" t="n"/>
      <c r="E304" s="46" t="n"/>
      <c r="F304" s="46">
        <f>IF(A304="","",COUNTIFS($A$2:A304,A304))</f>
        <v/>
      </c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</row>
    <row r="305" ht="22" customHeight="1">
      <c r="A305" s="48" t="n"/>
      <c r="B305" s="48" t="n"/>
      <c r="C305" s="48" t="n"/>
      <c r="D305" s="48" t="n"/>
      <c r="E305" s="48" t="n"/>
      <c r="F305" s="48">
        <f>IF(A305="","",COUNTIFS($A$2:A305,A305))</f>
        <v/>
      </c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</row>
    <row r="306" ht="22" customHeight="1">
      <c r="A306" s="46" t="n"/>
      <c r="B306" s="46" t="n"/>
      <c r="C306" s="46" t="n"/>
      <c r="D306" s="46" t="n"/>
      <c r="E306" s="46" t="n"/>
      <c r="F306" s="46">
        <f>IF(A306="","",COUNTIFS($A$2:A306,A306))</f>
        <v/>
      </c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</row>
    <row r="307" ht="22" customHeight="1">
      <c r="A307" s="48" t="n"/>
      <c r="B307" s="48" t="n"/>
      <c r="C307" s="48" t="n"/>
      <c r="D307" s="48" t="n"/>
      <c r="E307" s="48" t="n"/>
      <c r="F307" s="48">
        <f>IF(A307="","",COUNTIFS($A$2:A307,A307))</f>
        <v/>
      </c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</row>
    <row r="308" ht="22" customHeight="1">
      <c r="A308" s="46" t="n"/>
      <c r="B308" s="46" t="n"/>
      <c r="C308" s="46" t="n"/>
      <c r="D308" s="46" t="n"/>
      <c r="E308" s="46" t="n"/>
      <c r="F308" s="46">
        <f>IF(A308="","",COUNTIFS($A$2:A308,A308))</f>
        <v/>
      </c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</row>
    <row r="309" ht="22" customHeight="1">
      <c r="A309" s="48" t="n"/>
      <c r="B309" s="48" t="n"/>
      <c r="C309" s="48" t="n"/>
      <c r="D309" s="48" t="n"/>
      <c r="E309" s="48" t="n"/>
      <c r="F309" s="48">
        <f>IF(A309="","",COUNTIFS($A$2:A309,A309))</f>
        <v/>
      </c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</row>
    <row r="310" ht="22" customHeight="1">
      <c r="A310" s="46" t="n"/>
      <c r="B310" s="46" t="n"/>
      <c r="C310" s="46" t="n"/>
      <c r="D310" s="46" t="n"/>
      <c r="E310" s="46" t="n"/>
      <c r="F310" s="46">
        <f>IF(A310="","",COUNTIFS($A$2:A310,A310))</f>
        <v/>
      </c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</row>
    <row r="311" ht="22" customHeight="1">
      <c r="A311" s="48" t="n"/>
      <c r="B311" s="48" t="n"/>
      <c r="C311" s="48" t="n"/>
      <c r="D311" s="48" t="n"/>
      <c r="E311" s="48" t="n"/>
      <c r="F311" s="48">
        <f>IF(A311="","",COUNTIFS($A$2:A311,A311))</f>
        <v/>
      </c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</row>
    <row r="312" ht="22" customHeight="1">
      <c r="A312" s="46" t="n"/>
      <c r="B312" s="46" t="n"/>
      <c r="C312" s="46" t="n"/>
      <c r="D312" s="46" t="n"/>
      <c r="E312" s="46" t="n"/>
      <c r="F312" s="46">
        <f>IF(A312="","",COUNTIFS($A$2:A312,A312))</f>
        <v/>
      </c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</row>
    <row r="313" ht="22" customHeight="1">
      <c r="A313" s="48" t="n"/>
      <c r="B313" s="48" t="n"/>
      <c r="C313" s="48" t="n"/>
      <c r="D313" s="48" t="n"/>
      <c r="E313" s="48" t="n"/>
      <c r="F313" s="48">
        <f>IF(A313="","",COUNTIFS($A$2:A313,A313))</f>
        <v/>
      </c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</row>
    <row r="314" ht="22" customHeight="1">
      <c r="A314" s="46" t="n"/>
      <c r="B314" s="46" t="n"/>
      <c r="C314" s="46" t="n"/>
      <c r="D314" s="46" t="n"/>
      <c r="E314" s="46" t="n"/>
      <c r="F314" s="46">
        <f>IF(A314="","",COUNTIFS($A$2:A314,A314))</f>
        <v/>
      </c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</row>
    <row r="315" ht="22" customHeight="1">
      <c r="A315" s="48" t="n"/>
      <c r="B315" s="48" t="n"/>
      <c r="C315" s="48" t="n"/>
      <c r="D315" s="48" t="n"/>
      <c r="E315" s="48" t="n"/>
      <c r="F315" s="48">
        <f>IF(A315="","",COUNTIFS($A$2:A315,A315))</f>
        <v/>
      </c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</row>
    <row r="316" ht="22" customHeight="1">
      <c r="A316" s="46" t="n"/>
      <c r="B316" s="46" t="n"/>
      <c r="C316" s="46" t="n"/>
      <c r="D316" s="46" t="n"/>
      <c r="E316" s="46" t="n"/>
      <c r="F316" s="46">
        <f>IF(A316="","",COUNTIFS($A$2:A316,A316))</f>
        <v/>
      </c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</row>
    <row r="317" ht="22" customHeight="1">
      <c r="A317" s="48" t="n"/>
      <c r="B317" s="48" t="n"/>
      <c r="C317" s="48" t="n"/>
      <c r="D317" s="48" t="n"/>
      <c r="E317" s="48" t="n"/>
      <c r="F317" s="48">
        <f>IF(A317="","",COUNTIFS($A$2:A317,A317))</f>
        <v/>
      </c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</row>
    <row r="318" ht="22" customHeight="1">
      <c r="A318" s="46" t="n"/>
      <c r="B318" s="46" t="n"/>
      <c r="C318" s="46" t="n"/>
      <c r="D318" s="46" t="n"/>
      <c r="E318" s="46" t="n"/>
      <c r="F318" s="46">
        <f>IF(A318="","",COUNTIFS($A$2:A318,A318))</f>
        <v/>
      </c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</row>
    <row r="319" ht="22" customHeight="1">
      <c r="A319" s="48" t="n"/>
      <c r="B319" s="48" t="n"/>
      <c r="C319" s="48" t="n"/>
      <c r="D319" s="48" t="n"/>
      <c r="E319" s="48" t="n"/>
      <c r="F319" s="48">
        <f>IF(A319="","",COUNTIFS($A$2:A319,A319))</f>
        <v/>
      </c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</row>
    <row r="320" ht="22" customHeight="1">
      <c r="A320" s="46" t="n"/>
      <c r="B320" s="46" t="n"/>
      <c r="C320" s="46" t="n"/>
      <c r="D320" s="46" t="n"/>
      <c r="E320" s="46" t="n"/>
      <c r="F320" s="46">
        <f>IF(A320="","",COUNTIFS($A$2:A320,A320))</f>
        <v/>
      </c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</row>
    <row r="321" ht="22" customHeight="1">
      <c r="A321" s="48" t="n"/>
      <c r="B321" s="48" t="n"/>
      <c r="C321" s="48" t="n"/>
      <c r="D321" s="48" t="n"/>
      <c r="E321" s="48" t="n"/>
      <c r="F321" s="48">
        <f>IF(A321="","",COUNTIFS($A$2:A321,A321))</f>
        <v/>
      </c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</row>
    <row r="322" ht="22" customHeight="1">
      <c r="A322" s="46" t="n"/>
      <c r="B322" s="46" t="n"/>
      <c r="C322" s="46" t="n"/>
      <c r="D322" s="46" t="n"/>
      <c r="E322" s="46" t="n"/>
      <c r="F322" s="46">
        <f>IF(A322="","",COUNTIFS($A$2:A322,A322))</f>
        <v/>
      </c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</row>
    <row r="323" ht="22" customHeight="1">
      <c r="A323" s="48" t="n"/>
      <c r="B323" s="48" t="n"/>
      <c r="C323" s="48" t="n"/>
      <c r="D323" s="48" t="n"/>
      <c r="E323" s="48" t="n"/>
      <c r="F323" s="48">
        <f>IF(A323="","",COUNTIFS($A$2:A323,A323))</f>
        <v/>
      </c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</row>
    <row r="324" ht="22" customHeight="1">
      <c r="A324" s="46" t="n"/>
      <c r="B324" s="46" t="n"/>
      <c r="C324" s="46" t="n"/>
      <c r="D324" s="46" t="n"/>
      <c r="E324" s="46" t="n"/>
      <c r="F324" s="46">
        <f>IF(A324="","",COUNTIFS($A$2:A324,A324))</f>
        <v/>
      </c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</row>
    <row r="325" ht="22" customHeight="1">
      <c r="A325" s="48" t="n"/>
      <c r="B325" s="48" t="n"/>
      <c r="C325" s="48" t="n"/>
      <c r="D325" s="48" t="n"/>
      <c r="E325" s="48" t="n"/>
      <c r="F325" s="48">
        <f>IF(A325="","",COUNTIFS($A$2:A325,A325))</f>
        <v/>
      </c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</row>
    <row r="326" ht="22" customHeight="1">
      <c r="A326" s="46" t="n"/>
      <c r="B326" s="46" t="n"/>
      <c r="C326" s="46" t="n"/>
      <c r="D326" s="46" t="n"/>
      <c r="E326" s="46" t="n"/>
      <c r="F326" s="46">
        <f>IF(A326="","",COUNTIFS($A$2:A326,A326))</f>
        <v/>
      </c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</row>
    <row r="327" ht="22" customHeight="1">
      <c r="A327" s="48" t="n"/>
      <c r="B327" s="48" t="n"/>
      <c r="C327" s="48" t="n"/>
      <c r="D327" s="48" t="n"/>
      <c r="E327" s="48" t="n"/>
      <c r="F327" s="48">
        <f>IF(A327="","",COUNTIFS($A$2:A327,A327))</f>
        <v/>
      </c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</row>
    <row r="328" ht="22" customHeight="1">
      <c r="A328" s="46" t="n"/>
      <c r="B328" s="46" t="n"/>
      <c r="C328" s="46" t="n"/>
      <c r="D328" s="46" t="n"/>
      <c r="E328" s="46" t="n"/>
      <c r="F328" s="46">
        <f>IF(A328="","",COUNTIFS($A$2:A328,A328))</f>
        <v/>
      </c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</row>
    <row r="329" ht="22" customHeight="1">
      <c r="A329" s="48" t="n"/>
      <c r="B329" s="48" t="n"/>
      <c r="C329" s="48" t="n"/>
      <c r="D329" s="48" t="n"/>
      <c r="E329" s="48" t="n"/>
      <c r="F329" s="48">
        <f>IF(A329="","",COUNTIFS($A$2:A329,A329))</f>
        <v/>
      </c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</row>
    <row r="330" ht="22" customHeight="1">
      <c r="A330" s="46" t="n"/>
      <c r="B330" s="46" t="n"/>
      <c r="C330" s="46" t="n"/>
      <c r="D330" s="46" t="n"/>
      <c r="E330" s="46" t="n"/>
      <c r="F330" s="46">
        <f>IF(A330="","",COUNTIFS($A$2:A330,A330))</f>
        <v/>
      </c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</row>
    <row r="331" ht="22" customHeight="1">
      <c r="A331" s="48" t="n"/>
      <c r="B331" s="48" t="n"/>
      <c r="C331" s="48" t="n"/>
      <c r="D331" s="48" t="n"/>
      <c r="E331" s="48" t="n"/>
      <c r="F331" s="48">
        <f>IF(A331="","",COUNTIFS($A$2:A331,A331))</f>
        <v/>
      </c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</row>
    <row r="332" ht="22" customHeight="1">
      <c r="A332" s="46" t="n"/>
      <c r="B332" s="46" t="n"/>
      <c r="C332" s="46" t="n"/>
      <c r="D332" s="46" t="n"/>
      <c r="E332" s="46" t="n"/>
      <c r="F332" s="46">
        <f>IF(A332="","",COUNTIFS($A$2:A332,A332))</f>
        <v/>
      </c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</row>
    <row r="333" ht="22" customHeight="1">
      <c r="A333" s="48" t="n"/>
      <c r="B333" s="48" t="n"/>
      <c r="C333" s="48" t="n"/>
      <c r="D333" s="48" t="n"/>
      <c r="E333" s="48" t="n"/>
      <c r="F333" s="48">
        <f>IF(A333="","",COUNTIFS($A$2:A333,A333))</f>
        <v/>
      </c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</row>
    <row r="334" ht="22" customHeight="1">
      <c r="A334" s="46" t="n"/>
      <c r="B334" s="46" t="n"/>
      <c r="C334" s="46" t="n"/>
      <c r="D334" s="46" t="n"/>
      <c r="E334" s="46" t="n"/>
      <c r="F334" s="46">
        <f>IF(A334="","",COUNTIFS($A$2:A334,A334))</f>
        <v/>
      </c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</row>
    <row r="335" ht="22" customHeight="1">
      <c r="A335" s="48" t="n"/>
      <c r="B335" s="48" t="n"/>
      <c r="C335" s="48" t="n"/>
      <c r="D335" s="48" t="n"/>
      <c r="E335" s="48" t="n"/>
      <c r="F335" s="48">
        <f>IF(A335="","",COUNTIFS($A$2:A335,A335))</f>
        <v/>
      </c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</row>
    <row r="336" ht="22" customHeight="1">
      <c r="A336" s="46" t="n"/>
      <c r="B336" s="46" t="n"/>
      <c r="C336" s="46" t="n"/>
      <c r="D336" s="46" t="n"/>
      <c r="E336" s="46" t="n"/>
      <c r="F336" s="46">
        <f>IF(A336="","",COUNTIFS($A$2:A336,A336))</f>
        <v/>
      </c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</row>
    <row r="337" ht="22" customHeight="1">
      <c r="A337" s="48" t="n"/>
      <c r="B337" s="48" t="n"/>
      <c r="C337" s="48" t="n"/>
      <c r="D337" s="48" t="n"/>
      <c r="E337" s="48" t="n"/>
      <c r="F337" s="48">
        <f>IF(A337="","",COUNTIFS($A$2:A337,A337))</f>
        <v/>
      </c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</row>
    <row r="338" ht="22" customHeight="1">
      <c r="A338" s="46" t="n"/>
      <c r="B338" s="46" t="n"/>
      <c r="C338" s="46" t="n"/>
      <c r="D338" s="46" t="n"/>
      <c r="E338" s="46" t="n"/>
      <c r="F338" s="46">
        <f>IF(A338="","",COUNTIFS($A$2:A338,A338))</f>
        <v/>
      </c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</row>
    <row r="339" ht="22" customHeight="1">
      <c r="A339" s="48" t="n"/>
      <c r="B339" s="48" t="n"/>
      <c r="C339" s="48" t="n"/>
      <c r="D339" s="48" t="n"/>
      <c r="E339" s="48" t="n"/>
      <c r="F339" s="48">
        <f>IF(A339="","",COUNTIFS($A$2:A339,A339))</f>
        <v/>
      </c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</row>
    <row r="340" ht="22" customHeight="1">
      <c r="A340" s="46" t="n"/>
      <c r="B340" s="46" t="n"/>
      <c r="C340" s="46" t="n"/>
      <c r="D340" s="46" t="n"/>
      <c r="E340" s="46" t="n"/>
      <c r="F340" s="46">
        <f>IF(A340="","",COUNTIFS($A$2:A340,A340))</f>
        <v/>
      </c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</row>
    <row r="341" ht="22" customHeight="1">
      <c r="A341" s="48" t="n"/>
      <c r="B341" s="48" t="n"/>
      <c r="C341" s="48" t="n"/>
      <c r="D341" s="48" t="n"/>
      <c r="E341" s="48" t="n"/>
      <c r="F341" s="48">
        <f>IF(A341="","",COUNTIFS($A$2:A341,A341))</f>
        <v/>
      </c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</row>
    <row r="342" ht="22" customHeight="1">
      <c r="A342" s="46" t="n"/>
      <c r="B342" s="46" t="n"/>
      <c r="C342" s="46" t="n"/>
      <c r="D342" s="46" t="n"/>
      <c r="E342" s="46" t="n"/>
      <c r="F342" s="46">
        <f>IF(A342="","",COUNTIFS($A$2:A342,A342))</f>
        <v/>
      </c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</row>
    <row r="343" ht="22" customHeight="1">
      <c r="A343" s="48" t="n"/>
      <c r="B343" s="48" t="n"/>
      <c r="C343" s="48" t="n"/>
      <c r="D343" s="48" t="n"/>
      <c r="E343" s="48" t="n"/>
      <c r="F343" s="48">
        <f>IF(A343="","",COUNTIFS($A$2:A343,A343))</f>
        <v/>
      </c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</row>
    <row r="344" ht="22" customHeight="1">
      <c r="A344" s="46" t="n"/>
      <c r="B344" s="46" t="n"/>
      <c r="C344" s="46" t="n"/>
      <c r="D344" s="46" t="n"/>
      <c r="E344" s="46" t="n"/>
      <c r="F344" s="46">
        <f>IF(A344="","",COUNTIFS($A$2:A344,A344))</f>
        <v/>
      </c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</row>
    <row r="345" ht="22" customHeight="1">
      <c r="A345" s="48" t="n"/>
      <c r="B345" s="48" t="n"/>
      <c r="C345" s="48" t="n"/>
      <c r="D345" s="48" t="n"/>
      <c r="E345" s="48" t="n"/>
      <c r="F345" s="48">
        <f>IF(A345="","",COUNTIFS($A$2:A345,A345))</f>
        <v/>
      </c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</row>
    <row r="346" ht="22" customHeight="1">
      <c r="A346" s="46" t="n"/>
      <c r="B346" s="46" t="n"/>
      <c r="C346" s="46" t="n"/>
      <c r="D346" s="46" t="n"/>
      <c r="E346" s="46" t="n"/>
      <c r="F346" s="46">
        <f>IF(A346="","",COUNTIFS($A$2:A346,A346))</f>
        <v/>
      </c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</row>
    <row r="347" ht="22" customHeight="1">
      <c r="A347" s="48" t="n"/>
      <c r="B347" s="48" t="n"/>
      <c r="C347" s="48" t="n"/>
      <c r="D347" s="48" t="n"/>
      <c r="E347" s="48" t="n"/>
      <c r="F347" s="48">
        <f>IF(A347="","",COUNTIFS($A$2:A347,A347))</f>
        <v/>
      </c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</row>
    <row r="348" ht="22" customHeight="1">
      <c r="A348" s="46" t="n"/>
      <c r="B348" s="46" t="n"/>
      <c r="C348" s="46" t="n"/>
      <c r="D348" s="46" t="n"/>
      <c r="E348" s="46" t="n"/>
      <c r="F348" s="46">
        <f>IF(A348="","",COUNTIFS($A$2:A348,A348))</f>
        <v/>
      </c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</row>
    <row r="349" ht="22" customHeight="1">
      <c r="A349" s="48" t="n"/>
      <c r="B349" s="48" t="n"/>
      <c r="C349" s="48" t="n"/>
      <c r="D349" s="48" t="n"/>
      <c r="E349" s="48" t="n"/>
      <c r="F349" s="48">
        <f>IF(A349="","",COUNTIFS($A$2:A349,A349))</f>
        <v/>
      </c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</row>
    <row r="350" ht="22" customHeight="1">
      <c r="A350" s="46" t="n"/>
      <c r="B350" s="46" t="n"/>
      <c r="C350" s="46" t="n"/>
      <c r="D350" s="46" t="n"/>
      <c r="E350" s="46" t="n"/>
      <c r="F350" s="46">
        <f>IF(A350="","",COUNTIFS($A$2:A350,A350))</f>
        <v/>
      </c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</row>
    <row r="351" ht="22" customHeight="1">
      <c r="A351" s="48" t="n"/>
      <c r="B351" s="48" t="n"/>
      <c r="C351" s="48" t="n"/>
      <c r="D351" s="48" t="n"/>
      <c r="E351" s="48" t="n"/>
      <c r="F351" s="48">
        <f>IF(A351="","",COUNTIFS($A$2:A351,A351))</f>
        <v/>
      </c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</row>
    <row r="352" ht="22" customHeight="1">
      <c r="A352" s="46" t="n"/>
      <c r="B352" s="46" t="n"/>
      <c r="C352" s="46" t="n"/>
      <c r="D352" s="46" t="n"/>
      <c r="E352" s="46" t="n"/>
      <c r="F352" s="46">
        <f>IF(A352="","",COUNTIFS($A$2:A352,A352))</f>
        <v/>
      </c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</row>
    <row r="353" ht="22" customHeight="1">
      <c r="A353" s="48" t="n"/>
      <c r="B353" s="48" t="n"/>
      <c r="C353" s="48" t="n"/>
      <c r="D353" s="48" t="n"/>
      <c r="E353" s="48" t="n"/>
      <c r="F353" s="48">
        <f>IF(A353="","",COUNTIFS($A$2:A353,A353))</f>
        <v/>
      </c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</row>
    <row r="354" ht="22" customHeight="1">
      <c r="A354" s="46" t="n"/>
      <c r="B354" s="46" t="n"/>
      <c r="C354" s="46" t="n"/>
      <c r="D354" s="46" t="n"/>
      <c r="E354" s="46" t="n"/>
      <c r="F354" s="46">
        <f>IF(A354="","",COUNTIFS($A$2:A354,A354))</f>
        <v/>
      </c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</row>
    <row r="355" ht="22" customHeight="1">
      <c r="A355" s="48" t="n"/>
      <c r="B355" s="48" t="n"/>
      <c r="C355" s="48" t="n"/>
      <c r="D355" s="48" t="n"/>
      <c r="E355" s="48" t="n"/>
      <c r="F355" s="48">
        <f>IF(A355="","",COUNTIFS($A$2:A355,A355))</f>
        <v/>
      </c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</row>
    <row r="356" ht="22" customHeight="1">
      <c r="A356" s="46" t="n"/>
      <c r="B356" s="46" t="n"/>
      <c r="C356" s="46" t="n"/>
      <c r="D356" s="46" t="n"/>
      <c r="E356" s="46" t="n"/>
      <c r="F356" s="46">
        <f>IF(A356="","",COUNTIFS($A$2:A356,A356))</f>
        <v/>
      </c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</row>
    <row r="357" ht="22" customHeight="1">
      <c r="A357" s="48" t="n"/>
      <c r="B357" s="48" t="n"/>
      <c r="C357" s="48" t="n"/>
      <c r="D357" s="48" t="n"/>
      <c r="E357" s="48" t="n"/>
      <c r="F357" s="48">
        <f>IF(A357="","",COUNTIFS($A$2:A357,A357))</f>
        <v/>
      </c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</row>
    <row r="358" ht="22" customHeight="1">
      <c r="A358" s="46" t="n"/>
      <c r="B358" s="46" t="n"/>
      <c r="C358" s="46" t="n"/>
      <c r="D358" s="46" t="n"/>
      <c r="E358" s="46" t="n"/>
      <c r="F358" s="46">
        <f>IF(A358="","",COUNTIFS($A$2:A358,A358))</f>
        <v/>
      </c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</row>
    <row r="359" ht="22" customHeight="1">
      <c r="A359" s="48" t="n"/>
      <c r="B359" s="48" t="n"/>
      <c r="C359" s="48" t="n"/>
      <c r="D359" s="48" t="n"/>
      <c r="E359" s="48" t="n"/>
      <c r="F359" s="48">
        <f>IF(A359="","",COUNTIFS($A$2:A359,A359))</f>
        <v/>
      </c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</row>
    <row r="360" ht="22" customHeight="1">
      <c r="A360" s="46" t="n"/>
      <c r="B360" s="46" t="n"/>
      <c r="C360" s="46" t="n"/>
      <c r="D360" s="46" t="n"/>
      <c r="E360" s="46" t="n"/>
      <c r="F360" s="46">
        <f>IF(A360="","",COUNTIFS($A$2:A360,A360))</f>
        <v/>
      </c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</row>
    <row r="361" ht="22" customHeight="1">
      <c r="A361" s="48" t="n"/>
      <c r="B361" s="48" t="n"/>
      <c r="C361" s="48" t="n"/>
      <c r="D361" s="48" t="n"/>
      <c r="E361" s="48" t="n"/>
      <c r="F361" s="48">
        <f>IF(A361="","",COUNTIFS($A$2:A361,A361))</f>
        <v/>
      </c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</row>
    <row r="362" ht="22" customHeight="1">
      <c r="A362" s="46" t="n"/>
      <c r="B362" s="46" t="n"/>
      <c r="C362" s="46" t="n"/>
      <c r="D362" s="46" t="n"/>
      <c r="E362" s="46" t="n"/>
      <c r="F362" s="46">
        <f>IF(A362="","",COUNTIFS($A$2:A362,A362))</f>
        <v/>
      </c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</row>
    <row r="363" ht="22" customHeight="1">
      <c r="A363" s="48" t="n"/>
      <c r="B363" s="48" t="n"/>
      <c r="C363" s="48" t="n"/>
      <c r="D363" s="48" t="n"/>
      <c r="E363" s="48" t="n"/>
      <c r="F363" s="48">
        <f>IF(A363="","",COUNTIFS($A$2:A363,A363))</f>
        <v/>
      </c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</row>
    <row r="364" ht="22" customHeight="1">
      <c r="A364" s="46" t="n"/>
      <c r="B364" s="46" t="n"/>
      <c r="C364" s="46" t="n"/>
      <c r="D364" s="46" t="n"/>
      <c r="E364" s="46" t="n"/>
      <c r="F364" s="46">
        <f>IF(A364="","",COUNTIFS($A$2:A364,A364))</f>
        <v/>
      </c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</row>
    <row r="365" ht="22" customHeight="1">
      <c r="A365" s="48" t="n"/>
      <c r="B365" s="48" t="n"/>
      <c r="C365" s="48" t="n"/>
      <c r="D365" s="48" t="n"/>
      <c r="E365" s="48" t="n"/>
      <c r="F365" s="48">
        <f>IF(A365="","",COUNTIFS($A$2:A365,A365))</f>
        <v/>
      </c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</row>
    <row r="366" ht="22" customHeight="1">
      <c r="A366" s="46" t="n"/>
      <c r="B366" s="46" t="n"/>
      <c r="C366" s="46" t="n"/>
      <c r="D366" s="46" t="n"/>
      <c r="E366" s="46" t="n"/>
      <c r="F366" s="46">
        <f>IF(A366="","",COUNTIFS($A$2:A366,A366))</f>
        <v/>
      </c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</row>
    <row r="367" ht="22" customHeight="1">
      <c r="A367" s="48" t="n"/>
      <c r="B367" s="48" t="n"/>
      <c r="C367" s="48" t="n"/>
      <c r="D367" s="48" t="n"/>
      <c r="E367" s="48" t="n"/>
      <c r="F367" s="48">
        <f>IF(A367="","",COUNTIFS($A$2:A367,A367))</f>
        <v/>
      </c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</row>
    <row r="368" ht="22" customHeight="1">
      <c r="A368" s="46" t="n"/>
      <c r="B368" s="46" t="n"/>
      <c r="C368" s="46" t="n"/>
      <c r="D368" s="46" t="n"/>
      <c r="E368" s="46" t="n"/>
      <c r="F368" s="46">
        <f>IF(A368="","",COUNTIFS($A$2:A368,A368))</f>
        <v/>
      </c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</row>
    <row r="369" ht="22" customHeight="1">
      <c r="A369" s="48" t="n"/>
      <c r="B369" s="48" t="n"/>
      <c r="C369" s="48" t="n"/>
      <c r="D369" s="48" t="n"/>
      <c r="E369" s="48" t="n"/>
      <c r="F369" s="48">
        <f>IF(A369="","",COUNTIFS($A$2:A369,A369))</f>
        <v/>
      </c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</row>
    <row r="370" ht="22" customHeight="1">
      <c r="A370" s="46" t="n"/>
      <c r="B370" s="46" t="n"/>
      <c r="C370" s="46" t="n"/>
      <c r="D370" s="46" t="n"/>
      <c r="E370" s="46" t="n"/>
      <c r="F370" s="46">
        <f>IF(A370="","",COUNTIFS($A$2:A370,A370))</f>
        <v/>
      </c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</row>
    <row r="371" ht="22" customHeight="1">
      <c r="A371" s="48" t="n"/>
      <c r="B371" s="48" t="n"/>
      <c r="C371" s="48" t="n"/>
      <c r="D371" s="48" t="n"/>
      <c r="E371" s="48" t="n"/>
      <c r="F371" s="48">
        <f>IF(A371="","",COUNTIFS($A$2:A371,A371))</f>
        <v/>
      </c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</row>
    <row r="372" ht="22" customHeight="1">
      <c r="A372" s="46" t="n"/>
      <c r="B372" s="46" t="n"/>
      <c r="C372" s="46" t="n"/>
      <c r="D372" s="46" t="n"/>
      <c r="E372" s="46" t="n"/>
      <c r="F372" s="46">
        <f>IF(A372="","",COUNTIFS($A$2:A372,A372))</f>
        <v/>
      </c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</row>
    <row r="373" ht="22" customHeight="1">
      <c r="A373" s="48" t="n"/>
      <c r="B373" s="48" t="n"/>
      <c r="C373" s="48" t="n"/>
      <c r="D373" s="48" t="n"/>
      <c r="E373" s="48" t="n"/>
      <c r="F373" s="48">
        <f>IF(A373="","",COUNTIFS($A$2:A373,A373))</f>
        <v/>
      </c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</row>
    <row r="374" ht="22" customHeight="1">
      <c r="A374" s="46" t="n"/>
      <c r="B374" s="46" t="n"/>
      <c r="C374" s="46" t="n"/>
      <c r="D374" s="46" t="n"/>
      <c r="E374" s="46" t="n"/>
      <c r="F374" s="46">
        <f>IF(A374="","",COUNTIFS($A$2:A374,A374))</f>
        <v/>
      </c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</row>
    <row r="375" ht="22" customHeight="1">
      <c r="A375" s="48" t="n"/>
      <c r="B375" s="48" t="n"/>
      <c r="C375" s="48" t="n"/>
      <c r="D375" s="48" t="n"/>
      <c r="E375" s="48" t="n"/>
      <c r="F375" s="48">
        <f>IF(A375="","",COUNTIFS($A$2:A375,A375))</f>
        <v/>
      </c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</row>
    <row r="376" ht="22" customHeight="1">
      <c r="A376" s="46" t="n"/>
      <c r="B376" s="46" t="n"/>
      <c r="C376" s="46" t="n"/>
      <c r="D376" s="46" t="n"/>
      <c r="E376" s="46" t="n"/>
      <c r="F376" s="46">
        <f>IF(A376="","",COUNTIFS($A$2:A376,A376))</f>
        <v/>
      </c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</row>
    <row r="377" ht="22" customHeight="1">
      <c r="A377" s="48" t="n"/>
      <c r="B377" s="48" t="n"/>
      <c r="C377" s="48" t="n"/>
      <c r="D377" s="48" t="n"/>
      <c r="E377" s="48" t="n"/>
      <c r="F377" s="48">
        <f>IF(A377="","",COUNTIFS($A$2:A377,A377))</f>
        <v/>
      </c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</row>
    <row r="378" ht="22" customHeight="1">
      <c r="A378" s="46" t="n"/>
      <c r="B378" s="46" t="n"/>
      <c r="C378" s="46" t="n"/>
      <c r="D378" s="46" t="n"/>
      <c r="E378" s="46" t="n"/>
      <c r="F378" s="46">
        <f>IF(A378="","",COUNTIFS($A$2:A378,A378))</f>
        <v/>
      </c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</row>
    <row r="379" ht="22" customHeight="1">
      <c r="A379" s="48" t="n"/>
      <c r="B379" s="48" t="n"/>
      <c r="C379" s="48" t="n"/>
      <c r="D379" s="48" t="n"/>
      <c r="E379" s="48" t="n"/>
      <c r="F379" s="48">
        <f>IF(A379="","",COUNTIFS($A$2:A379,A379))</f>
        <v/>
      </c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</row>
    <row r="380" ht="22" customHeight="1">
      <c r="A380" s="46" t="n"/>
      <c r="B380" s="46" t="n"/>
      <c r="C380" s="46" t="n"/>
      <c r="D380" s="46" t="n"/>
      <c r="E380" s="46" t="n"/>
      <c r="F380" s="46">
        <f>IF(A380="","",COUNTIFS($A$2:A380,A380))</f>
        <v/>
      </c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</row>
    <row r="381" ht="22" customHeight="1">
      <c r="A381" s="48" t="n"/>
      <c r="B381" s="48" t="n"/>
      <c r="C381" s="48" t="n"/>
      <c r="D381" s="48" t="n"/>
      <c r="E381" s="48" t="n"/>
      <c r="F381" s="48">
        <f>IF(A381="","",COUNTIFS($A$2:A381,A381))</f>
        <v/>
      </c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</row>
    <row r="382" ht="22" customHeight="1">
      <c r="A382" s="46" t="n"/>
      <c r="B382" s="46" t="n"/>
      <c r="C382" s="46" t="n"/>
      <c r="D382" s="46" t="n"/>
      <c r="E382" s="46" t="n"/>
      <c r="F382" s="46">
        <f>IF(A382="","",COUNTIFS($A$2:A382,A382))</f>
        <v/>
      </c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</row>
    <row r="383" ht="22" customHeight="1">
      <c r="A383" s="48" t="n"/>
      <c r="B383" s="48" t="n"/>
      <c r="C383" s="48" t="n"/>
      <c r="D383" s="48" t="n"/>
      <c r="E383" s="48" t="n"/>
      <c r="F383" s="48">
        <f>IF(A383="","",COUNTIFS($A$2:A383,A383))</f>
        <v/>
      </c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</row>
    <row r="384" ht="22" customHeight="1">
      <c r="A384" s="46" t="n"/>
      <c r="B384" s="46" t="n"/>
      <c r="C384" s="46" t="n"/>
      <c r="D384" s="46" t="n"/>
      <c r="E384" s="46" t="n"/>
      <c r="F384" s="46">
        <f>IF(A384="","",COUNTIFS($A$2:A384,A384))</f>
        <v/>
      </c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</row>
    <row r="385" ht="22" customHeight="1">
      <c r="A385" s="48" t="n"/>
      <c r="B385" s="48" t="n"/>
      <c r="C385" s="48" t="n"/>
      <c r="D385" s="48" t="n"/>
      <c r="E385" s="48" t="n"/>
      <c r="F385" s="48">
        <f>IF(A385="","",COUNTIFS($A$2:A385,A385))</f>
        <v/>
      </c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</row>
    <row r="386" ht="22" customHeight="1">
      <c r="A386" s="46" t="n"/>
      <c r="B386" s="46" t="n"/>
      <c r="C386" s="46" t="n"/>
      <c r="D386" s="46" t="n"/>
      <c r="E386" s="46" t="n"/>
      <c r="F386" s="46">
        <f>IF(A386="","",COUNTIFS($A$2:A386,A386))</f>
        <v/>
      </c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</row>
    <row r="387" ht="22" customHeight="1">
      <c r="A387" s="48" t="n"/>
      <c r="B387" s="48" t="n"/>
      <c r="C387" s="48" t="n"/>
      <c r="D387" s="48" t="n"/>
      <c r="E387" s="48" t="n"/>
      <c r="F387" s="48">
        <f>IF(A387="","",COUNTIFS($A$2:A387,A387))</f>
        <v/>
      </c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</row>
    <row r="388" ht="22" customHeight="1">
      <c r="A388" s="46" t="n"/>
      <c r="B388" s="46" t="n"/>
      <c r="C388" s="46" t="n"/>
      <c r="D388" s="46" t="n"/>
      <c r="E388" s="46" t="n"/>
      <c r="F388" s="46">
        <f>IF(A388="","",COUNTIFS($A$2:A388,A388))</f>
        <v/>
      </c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</row>
    <row r="389" ht="22" customHeight="1">
      <c r="A389" s="48" t="n"/>
      <c r="B389" s="48" t="n"/>
      <c r="C389" s="48" t="n"/>
      <c r="D389" s="48" t="n"/>
      <c r="E389" s="48" t="n"/>
      <c r="F389" s="48">
        <f>IF(A389="","",COUNTIFS($A$2:A389,A389))</f>
        <v/>
      </c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</row>
    <row r="390" ht="22" customHeight="1">
      <c r="A390" s="46" t="n"/>
      <c r="B390" s="46" t="n"/>
      <c r="C390" s="46" t="n"/>
      <c r="D390" s="46" t="n"/>
      <c r="E390" s="46" t="n"/>
      <c r="F390" s="46">
        <f>IF(A390="","",COUNTIFS($A$2:A390,A390))</f>
        <v/>
      </c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</row>
    <row r="391" ht="22" customHeight="1">
      <c r="A391" s="48" t="n"/>
      <c r="B391" s="48" t="n"/>
      <c r="C391" s="48" t="n"/>
      <c r="D391" s="48" t="n"/>
      <c r="E391" s="48" t="n"/>
      <c r="F391" s="48">
        <f>IF(A391="","",COUNTIFS($A$2:A391,A391))</f>
        <v/>
      </c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</row>
    <row r="392" ht="22" customHeight="1">
      <c r="A392" s="46" t="n"/>
      <c r="B392" s="46" t="n"/>
      <c r="C392" s="46" t="n"/>
      <c r="D392" s="46" t="n"/>
      <c r="E392" s="46" t="n"/>
      <c r="F392" s="46">
        <f>IF(A392="","",COUNTIFS($A$2:A392,A392))</f>
        <v/>
      </c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</row>
    <row r="393" ht="22" customHeight="1">
      <c r="A393" s="48" t="n"/>
      <c r="B393" s="48" t="n"/>
      <c r="C393" s="48" t="n"/>
      <c r="D393" s="48" t="n"/>
      <c r="E393" s="48" t="n"/>
      <c r="F393" s="48">
        <f>IF(A393="","",COUNTIFS($A$2:A393,A393))</f>
        <v/>
      </c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</row>
    <row r="394" ht="22" customHeight="1">
      <c r="A394" s="46" t="n"/>
      <c r="B394" s="46" t="n"/>
      <c r="C394" s="46" t="n"/>
      <c r="D394" s="46" t="n"/>
      <c r="E394" s="46" t="n"/>
      <c r="F394" s="46">
        <f>IF(A394="","",COUNTIFS($A$2:A394,A394))</f>
        <v/>
      </c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</row>
    <row r="395" ht="22" customHeight="1">
      <c r="A395" s="48" t="n"/>
      <c r="B395" s="48" t="n"/>
      <c r="C395" s="48" t="n"/>
      <c r="D395" s="48" t="n"/>
      <c r="E395" s="48" t="n"/>
      <c r="F395" s="48">
        <f>IF(A395="","",COUNTIFS($A$2:A395,A395))</f>
        <v/>
      </c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</row>
    <row r="396" ht="22" customHeight="1">
      <c r="A396" s="46" t="n"/>
      <c r="B396" s="46" t="n"/>
      <c r="C396" s="46" t="n"/>
      <c r="D396" s="46" t="n"/>
      <c r="E396" s="46" t="n"/>
      <c r="F396" s="46">
        <f>IF(A396="","",COUNTIFS($A$2:A396,A396))</f>
        <v/>
      </c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</row>
    <row r="397" ht="22" customHeight="1">
      <c r="A397" s="48" t="n"/>
      <c r="B397" s="48" t="n"/>
      <c r="C397" s="48" t="n"/>
      <c r="D397" s="48" t="n"/>
      <c r="E397" s="48" t="n"/>
      <c r="F397" s="48">
        <f>IF(A397="","",COUNTIFS($A$2:A397,A397))</f>
        <v/>
      </c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</row>
    <row r="398" ht="22" customHeight="1">
      <c r="A398" s="46" t="n"/>
      <c r="B398" s="46" t="n"/>
      <c r="C398" s="46" t="n"/>
      <c r="D398" s="46" t="n"/>
      <c r="E398" s="46" t="n"/>
      <c r="F398" s="46">
        <f>IF(A398="","",COUNTIFS($A$2:A398,A398))</f>
        <v/>
      </c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</row>
    <row r="399" ht="22" customHeight="1">
      <c r="A399" s="48" t="n"/>
      <c r="B399" s="48" t="n"/>
      <c r="C399" s="48" t="n"/>
      <c r="D399" s="48" t="n"/>
      <c r="E399" s="48" t="n"/>
      <c r="F399" s="48">
        <f>IF(A399="","",COUNTIFS($A$2:A399,A399))</f>
        <v/>
      </c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</row>
    <row r="400" ht="22" customHeight="1">
      <c r="A400" s="46" t="n"/>
      <c r="B400" s="46" t="n"/>
      <c r="C400" s="46" t="n"/>
      <c r="D400" s="46" t="n"/>
      <c r="E400" s="46" t="n"/>
      <c r="F400" s="46">
        <f>IF(A400="","",COUNTIFS($A$2:A400,A400))</f>
        <v/>
      </c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</row>
    <row r="401" ht="22" customHeight="1">
      <c r="A401" s="48" t="n"/>
      <c r="B401" s="48" t="n"/>
      <c r="C401" s="48" t="n"/>
      <c r="D401" s="48" t="n"/>
      <c r="E401" s="48" t="n"/>
      <c r="F401" s="48">
        <f>IF(A401="","",COUNTIFS($A$2:A401,A401))</f>
        <v/>
      </c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</row>
    <row r="402" ht="22" customHeight="1">
      <c r="A402" s="46" t="n"/>
      <c r="B402" s="46" t="n"/>
      <c r="C402" s="46" t="n"/>
      <c r="D402" s="46" t="n"/>
      <c r="E402" s="46" t="n"/>
      <c r="F402" s="46">
        <f>IF(A402="","",COUNTIFS($A$2:A402,A402))</f>
        <v/>
      </c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</row>
    <row r="403" ht="22" customHeight="1">
      <c r="A403" s="48" t="n"/>
      <c r="B403" s="48" t="n"/>
      <c r="C403" s="48" t="n"/>
      <c r="D403" s="48" t="n"/>
      <c r="E403" s="48" t="n"/>
      <c r="F403" s="48">
        <f>IF(A403="","",COUNTIFS($A$2:A403,A403))</f>
        <v/>
      </c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</row>
    <row r="404" ht="22" customHeight="1">
      <c r="A404" s="46" t="n"/>
      <c r="B404" s="46" t="n"/>
      <c r="C404" s="46" t="n"/>
      <c r="D404" s="46" t="n"/>
      <c r="E404" s="46" t="n"/>
      <c r="F404" s="46">
        <f>IF(A404="","",COUNTIFS($A$2:A404,A404))</f>
        <v/>
      </c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</row>
    <row r="405" ht="22" customHeight="1">
      <c r="A405" s="48" t="n"/>
      <c r="B405" s="48" t="n"/>
      <c r="C405" s="48" t="n"/>
      <c r="D405" s="48" t="n"/>
      <c r="E405" s="48" t="n"/>
      <c r="F405" s="48">
        <f>IF(A405="","",COUNTIFS($A$2:A405,A405))</f>
        <v/>
      </c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</row>
    <row r="406" ht="22" customHeight="1">
      <c r="A406" s="46" t="n"/>
      <c r="B406" s="46" t="n"/>
      <c r="C406" s="46" t="n"/>
      <c r="D406" s="46" t="n"/>
      <c r="E406" s="46" t="n"/>
      <c r="F406" s="46">
        <f>IF(A406="","",COUNTIFS($A$2:A406,A406))</f>
        <v/>
      </c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</row>
    <row r="407" ht="22" customHeight="1">
      <c r="A407" s="48" t="n"/>
      <c r="B407" s="48" t="n"/>
      <c r="C407" s="48" t="n"/>
      <c r="D407" s="48" t="n"/>
      <c r="E407" s="48" t="n"/>
      <c r="F407" s="48">
        <f>IF(A407="","",COUNTIFS($A$2:A407,A407))</f>
        <v/>
      </c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</row>
    <row r="408" ht="22" customHeight="1">
      <c r="A408" s="46" t="n"/>
      <c r="B408" s="46" t="n"/>
      <c r="C408" s="46" t="n"/>
      <c r="D408" s="46" t="n"/>
      <c r="E408" s="46" t="n"/>
      <c r="F408" s="46">
        <f>IF(A408="","",COUNTIFS($A$2:A408,A408))</f>
        <v/>
      </c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</row>
    <row r="409" ht="22" customHeight="1">
      <c r="A409" s="48" t="n"/>
      <c r="B409" s="48" t="n"/>
      <c r="C409" s="48" t="n"/>
      <c r="D409" s="48" t="n"/>
      <c r="E409" s="48" t="n"/>
      <c r="F409" s="48">
        <f>IF(A409="","",COUNTIFS($A$2:A409,A409))</f>
        <v/>
      </c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</row>
    <row r="410" ht="22" customHeight="1">
      <c r="A410" s="46" t="n"/>
      <c r="B410" s="46" t="n"/>
      <c r="C410" s="46" t="n"/>
      <c r="D410" s="46" t="n"/>
      <c r="E410" s="46" t="n"/>
      <c r="F410" s="46">
        <f>IF(A410="","",COUNTIFS($A$2:A410,A410))</f>
        <v/>
      </c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</row>
    <row r="411" ht="22" customHeight="1">
      <c r="A411" s="48" t="n"/>
      <c r="B411" s="48" t="n"/>
      <c r="C411" s="48" t="n"/>
      <c r="D411" s="48" t="n"/>
      <c r="E411" s="48" t="n"/>
      <c r="F411" s="48">
        <f>IF(A411="","",COUNTIFS($A$2:A411,A411))</f>
        <v/>
      </c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</row>
    <row r="412" ht="22" customHeight="1">
      <c r="A412" s="46" t="n"/>
      <c r="B412" s="46" t="n"/>
      <c r="C412" s="46" t="n"/>
      <c r="D412" s="46" t="n"/>
      <c r="E412" s="46" t="n"/>
      <c r="F412" s="46">
        <f>IF(A412="","",COUNTIFS($A$2:A412,A412))</f>
        <v/>
      </c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</row>
    <row r="413" ht="22" customHeight="1">
      <c r="A413" s="48" t="n"/>
      <c r="B413" s="48" t="n"/>
      <c r="C413" s="48" t="n"/>
      <c r="D413" s="48" t="n"/>
      <c r="E413" s="48" t="n"/>
      <c r="F413" s="48">
        <f>IF(A413="","",COUNTIFS($A$2:A413,A413))</f>
        <v/>
      </c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</row>
    <row r="414" ht="22" customHeight="1">
      <c r="A414" s="46" t="n"/>
      <c r="B414" s="46" t="n"/>
      <c r="C414" s="46" t="n"/>
      <c r="D414" s="46" t="n"/>
      <c r="E414" s="46" t="n"/>
      <c r="F414" s="46">
        <f>IF(A414="","",COUNTIFS($A$2:A414,A414))</f>
        <v/>
      </c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</row>
    <row r="415" ht="22" customHeight="1">
      <c r="A415" s="48" t="n"/>
      <c r="B415" s="48" t="n"/>
      <c r="C415" s="48" t="n"/>
      <c r="D415" s="48" t="n"/>
      <c r="E415" s="48" t="n"/>
      <c r="F415" s="48">
        <f>IF(A415="","",COUNTIFS($A$2:A415,A415))</f>
        <v/>
      </c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</row>
    <row r="416" ht="22" customHeight="1">
      <c r="A416" s="46" t="n"/>
      <c r="B416" s="46" t="n"/>
      <c r="C416" s="46" t="n"/>
      <c r="D416" s="46" t="n"/>
      <c r="E416" s="46" t="n"/>
      <c r="F416" s="46">
        <f>IF(A416="","",COUNTIFS($A$2:A416,A416))</f>
        <v/>
      </c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</row>
    <row r="417" ht="22" customHeight="1">
      <c r="A417" s="48" t="n"/>
      <c r="B417" s="48" t="n"/>
      <c r="C417" s="48" t="n"/>
      <c r="D417" s="48" t="n"/>
      <c r="E417" s="48" t="n"/>
      <c r="F417" s="48">
        <f>IF(A417="","",COUNTIFS($A$2:A417,A417))</f>
        <v/>
      </c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</row>
    <row r="418" ht="22" customHeight="1">
      <c r="A418" s="46" t="n"/>
      <c r="B418" s="46" t="n"/>
      <c r="C418" s="46" t="n"/>
      <c r="D418" s="46" t="n"/>
      <c r="E418" s="46" t="n"/>
      <c r="F418" s="46">
        <f>IF(A418="","",COUNTIFS($A$2:A418,A418))</f>
        <v/>
      </c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</row>
    <row r="419" ht="22" customHeight="1">
      <c r="A419" s="48" t="n"/>
      <c r="B419" s="48" t="n"/>
      <c r="C419" s="48" t="n"/>
      <c r="D419" s="48" t="n"/>
      <c r="E419" s="48" t="n"/>
      <c r="F419" s="48">
        <f>IF(A419="","",COUNTIFS($A$2:A419,A419))</f>
        <v/>
      </c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</row>
    <row r="420" ht="22" customHeight="1">
      <c r="A420" s="46" t="n"/>
      <c r="B420" s="46" t="n"/>
      <c r="C420" s="46" t="n"/>
      <c r="D420" s="46" t="n"/>
      <c r="E420" s="46" t="n"/>
      <c r="F420" s="46">
        <f>IF(A420="","",COUNTIFS($A$2:A420,A420))</f>
        <v/>
      </c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</row>
    <row r="421" ht="22" customHeight="1">
      <c r="A421" s="48" t="n"/>
      <c r="B421" s="48" t="n"/>
      <c r="C421" s="48" t="n"/>
      <c r="D421" s="48" t="n"/>
      <c r="E421" s="48" t="n"/>
      <c r="F421" s="48">
        <f>IF(A421="","",COUNTIFS($A$2:A421,A421))</f>
        <v/>
      </c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</row>
    <row r="422" ht="22" customHeight="1">
      <c r="A422" s="46" t="n"/>
      <c r="B422" s="46" t="n"/>
      <c r="C422" s="46" t="n"/>
      <c r="D422" s="46" t="n"/>
      <c r="E422" s="46" t="n"/>
      <c r="F422" s="46">
        <f>IF(A422="","",COUNTIFS($A$2:A422,A422))</f>
        <v/>
      </c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</row>
    <row r="423" ht="22" customHeight="1">
      <c r="A423" s="48" t="n"/>
      <c r="B423" s="48" t="n"/>
      <c r="C423" s="48" t="n"/>
      <c r="D423" s="48" t="n"/>
      <c r="E423" s="48" t="n"/>
      <c r="F423" s="48">
        <f>IF(A423="","",COUNTIFS($A$2:A423,A423))</f>
        <v/>
      </c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</row>
    <row r="424" ht="22" customHeight="1">
      <c r="A424" s="46" t="n"/>
      <c r="B424" s="46" t="n"/>
      <c r="C424" s="46" t="n"/>
      <c r="D424" s="46" t="n"/>
      <c r="E424" s="46" t="n"/>
      <c r="F424" s="46">
        <f>IF(A424="","",COUNTIFS($A$2:A424,A424))</f>
        <v/>
      </c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</row>
    <row r="425" ht="22" customHeight="1">
      <c r="A425" s="48" t="n"/>
      <c r="B425" s="48" t="n"/>
      <c r="C425" s="48" t="n"/>
      <c r="D425" s="48" t="n"/>
      <c r="E425" s="48" t="n"/>
      <c r="F425" s="48">
        <f>IF(A425="","",COUNTIFS($A$2:A425,A425))</f>
        <v/>
      </c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</row>
    <row r="426" ht="22" customHeight="1">
      <c r="A426" s="46" t="n"/>
      <c r="B426" s="46" t="n"/>
      <c r="C426" s="46" t="n"/>
      <c r="D426" s="46" t="n"/>
      <c r="E426" s="46" t="n"/>
      <c r="F426" s="46">
        <f>IF(A426="","",COUNTIFS($A$2:A426,A426))</f>
        <v/>
      </c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</row>
    <row r="427" ht="22" customHeight="1">
      <c r="A427" s="48" t="n"/>
      <c r="B427" s="48" t="n"/>
      <c r="C427" s="48" t="n"/>
      <c r="D427" s="48" t="n"/>
      <c r="E427" s="48" t="n"/>
      <c r="F427" s="48">
        <f>IF(A427="","",COUNTIFS($A$2:A427,A427))</f>
        <v/>
      </c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</row>
    <row r="428" ht="22" customHeight="1">
      <c r="A428" s="46" t="n"/>
      <c r="B428" s="46" t="n"/>
      <c r="C428" s="46" t="n"/>
      <c r="D428" s="46" t="n"/>
      <c r="E428" s="46" t="n"/>
      <c r="F428" s="46">
        <f>IF(A428="","",COUNTIFS($A$2:A428,A428))</f>
        <v/>
      </c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</row>
    <row r="429" ht="22" customHeight="1">
      <c r="A429" s="48" t="n"/>
      <c r="B429" s="48" t="n"/>
      <c r="C429" s="48" t="n"/>
      <c r="D429" s="48" t="n"/>
      <c r="E429" s="48" t="n"/>
      <c r="F429" s="48">
        <f>IF(A429="","",COUNTIFS($A$2:A429,A429))</f>
        <v/>
      </c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</row>
    <row r="430" ht="22" customHeight="1">
      <c r="A430" s="46" t="n"/>
      <c r="B430" s="46" t="n"/>
      <c r="C430" s="46" t="n"/>
      <c r="D430" s="46" t="n"/>
      <c r="E430" s="46" t="n"/>
      <c r="F430" s="46">
        <f>IF(A430="","",COUNTIFS($A$2:A430,A430))</f>
        <v/>
      </c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</row>
    <row r="431" ht="22" customHeight="1">
      <c r="A431" s="48" t="n"/>
      <c r="B431" s="48" t="n"/>
      <c r="C431" s="48" t="n"/>
      <c r="D431" s="48" t="n"/>
      <c r="E431" s="48" t="n"/>
      <c r="F431" s="48">
        <f>IF(A431="","",COUNTIFS($A$2:A431,A431))</f>
        <v/>
      </c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</row>
    <row r="432" ht="22" customHeight="1">
      <c r="A432" s="46" t="n"/>
      <c r="B432" s="46" t="n"/>
      <c r="C432" s="46" t="n"/>
      <c r="D432" s="46" t="n"/>
      <c r="E432" s="46" t="n"/>
      <c r="F432" s="46">
        <f>IF(A432="","",COUNTIFS($A$2:A432,A432))</f>
        <v/>
      </c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</row>
    <row r="433" ht="22" customHeight="1">
      <c r="A433" s="48" t="n"/>
      <c r="B433" s="48" t="n"/>
      <c r="C433" s="48" t="n"/>
      <c r="D433" s="48" t="n"/>
      <c r="E433" s="48" t="n"/>
      <c r="F433" s="48">
        <f>IF(A433="","",COUNTIFS($A$2:A433,A433))</f>
        <v/>
      </c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</row>
    <row r="434" ht="22" customHeight="1">
      <c r="A434" s="46" t="n"/>
      <c r="B434" s="46" t="n"/>
      <c r="C434" s="46" t="n"/>
      <c r="D434" s="46" t="n"/>
      <c r="E434" s="46" t="n"/>
      <c r="F434" s="46">
        <f>IF(A434="","",COUNTIFS($A$2:A434,A434))</f>
        <v/>
      </c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</row>
    <row r="435" ht="22" customHeight="1">
      <c r="A435" s="48" t="n"/>
      <c r="B435" s="48" t="n"/>
      <c r="C435" s="48" t="n"/>
      <c r="D435" s="48" t="n"/>
      <c r="E435" s="48" t="n"/>
      <c r="F435" s="48">
        <f>IF(A435="","",COUNTIFS($A$2:A435,A435))</f>
        <v/>
      </c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</row>
    <row r="436" ht="22" customHeight="1">
      <c r="A436" s="46" t="n"/>
      <c r="B436" s="46" t="n"/>
      <c r="C436" s="46" t="n"/>
      <c r="D436" s="46" t="n"/>
      <c r="E436" s="46" t="n"/>
      <c r="F436" s="46">
        <f>IF(A436="","",COUNTIFS($A$2:A436,A436))</f>
        <v/>
      </c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</row>
    <row r="437" ht="22" customHeight="1">
      <c r="A437" s="48" t="n"/>
      <c r="B437" s="48" t="n"/>
      <c r="C437" s="48" t="n"/>
      <c r="D437" s="48" t="n"/>
      <c r="E437" s="48" t="n"/>
      <c r="F437" s="48">
        <f>IF(A437="","",COUNTIFS($A$2:A437,A437))</f>
        <v/>
      </c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</row>
    <row r="438" ht="22" customHeight="1">
      <c r="A438" s="46" t="n"/>
      <c r="B438" s="46" t="n"/>
      <c r="C438" s="46" t="n"/>
      <c r="D438" s="46" t="n"/>
      <c r="E438" s="46" t="n"/>
      <c r="F438" s="46">
        <f>IF(A438="","",COUNTIFS($A$2:A438,A438))</f>
        <v/>
      </c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</row>
    <row r="439" ht="22" customHeight="1">
      <c r="A439" s="48" t="n"/>
      <c r="B439" s="48" t="n"/>
      <c r="C439" s="48" t="n"/>
      <c r="D439" s="48" t="n"/>
      <c r="E439" s="48" t="n"/>
      <c r="F439" s="48">
        <f>IF(A439="","",COUNTIFS($A$2:A439,A439))</f>
        <v/>
      </c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</row>
    <row r="440" ht="22" customHeight="1">
      <c r="A440" s="46" t="n"/>
      <c r="B440" s="46" t="n"/>
      <c r="C440" s="46" t="n"/>
      <c r="D440" s="46" t="n"/>
      <c r="E440" s="46" t="n"/>
      <c r="F440" s="46">
        <f>IF(A440="","",COUNTIFS($A$2:A440,A440))</f>
        <v/>
      </c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</row>
    <row r="441" ht="22" customHeight="1">
      <c r="A441" s="48" t="n"/>
      <c r="B441" s="48" t="n"/>
      <c r="C441" s="48" t="n"/>
      <c r="D441" s="48" t="n"/>
      <c r="E441" s="48" t="n"/>
      <c r="F441" s="48">
        <f>IF(A441="","",COUNTIFS($A$2:A441,A441))</f>
        <v/>
      </c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</row>
    <row r="442" ht="22" customHeight="1">
      <c r="A442" s="46" t="n"/>
      <c r="B442" s="46" t="n"/>
      <c r="C442" s="46" t="n"/>
      <c r="D442" s="46" t="n"/>
      <c r="E442" s="46" t="n"/>
      <c r="F442" s="46">
        <f>IF(A442="","",COUNTIFS($A$2:A442,A442))</f>
        <v/>
      </c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</row>
    <row r="443" ht="22" customHeight="1">
      <c r="A443" s="48" t="n"/>
      <c r="B443" s="48" t="n"/>
      <c r="C443" s="48" t="n"/>
      <c r="D443" s="48" t="n"/>
      <c r="E443" s="48" t="n"/>
      <c r="F443" s="48">
        <f>IF(A443="","",COUNTIFS($A$2:A443,A443))</f>
        <v/>
      </c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</row>
    <row r="444" ht="22" customHeight="1">
      <c r="A444" s="46" t="n"/>
      <c r="B444" s="46" t="n"/>
      <c r="C444" s="46" t="n"/>
      <c r="D444" s="46" t="n"/>
      <c r="E444" s="46" t="n"/>
      <c r="F444" s="46">
        <f>IF(A444="","",COUNTIFS($A$2:A444,A444))</f>
        <v/>
      </c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</row>
    <row r="445" ht="22" customHeight="1">
      <c r="A445" s="48" t="n"/>
      <c r="B445" s="48" t="n"/>
      <c r="C445" s="48" t="n"/>
      <c r="D445" s="48" t="n"/>
      <c r="E445" s="48" t="n"/>
      <c r="F445" s="48">
        <f>IF(A445="","",COUNTIFS($A$2:A445,A445))</f>
        <v/>
      </c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</row>
    <row r="446" ht="22" customHeight="1">
      <c r="A446" s="46" t="n"/>
      <c r="B446" s="46" t="n"/>
      <c r="C446" s="46" t="n"/>
      <c r="D446" s="46" t="n"/>
      <c r="E446" s="46" t="n"/>
      <c r="F446" s="46">
        <f>IF(A446="","",COUNTIFS($A$2:A446,A446))</f>
        <v/>
      </c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</row>
    <row r="447" ht="22" customHeight="1">
      <c r="A447" s="48" t="n"/>
      <c r="B447" s="48" t="n"/>
      <c r="C447" s="48" t="n"/>
      <c r="D447" s="48" t="n"/>
      <c r="E447" s="48" t="n"/>
      <c r="F447" s="48">
        <f>IF(A447="","",COUNTIFS($A$2:A447,A447))</f>
        <v/>
      </c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</row>
    <row r="448" ht="22" customHeight="1">
      <c r="A448" s="46" t="n"/>
      <c r="B448" s="46" t="n"/>
      <c r="C448" s="46" t="n"/>
      <c r="D448" s="46" t="n"/>
      <c r="E448" s="46" t="n"/>
      <c r="F448" s="46">
        <f>IF(A448="","",COUNTIFS($A$2:A448,A448))</f>
        <v/>
      </c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</row>
    <row r="449" ht="22" customHeight="1">
      <c r="A449" s="48" t="n"/>
      <c r="B449" s="48" t="n"/>
      <c r="C449" s="48" t="n"/>
      <c r="D449" s="48" t="n"/>
      <c r="E449" s="48" t="n"/>
      <c r="F449" s="48">
        <f>IF(A449="","",COUNTIFS($A$2:A449,A449))</f>
        <v/>
      </c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</row>
    <row r="450" ht="22" customHeight="1">
      <c r="A450" s="46" t="n"/>
      <c r="B450" s="46" t="n"/>
      <c r="C450" s="46" t="n"/>
      <c r="D450" s="46" t="n"/>
      <c r="E450" s="46" t="n"/>
      <c r="F450" s="46">
        <f>IF(A450="","",COUNTIFS($A$2:A450,A450))</f>
        <v/>
      </c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</row>
    <row r="451" ht="22" customHeight="1">
      <c r="A451" s="48" t="n"/>
      <c r="B451" s="48" t="n"/>
      <c r="C451" s="48" t="n"/>
      <c r="D451" s="48" t="n"/>
      <c r="E451" s="48" t="n"/>
      <c r="F451" s="48">
        <f>IF(A451="","",COUNTIFS($A$2:A451,A451))</f>
        <v/>
      </c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</row>
    <row r="452" ht="22" customHeight="1">
      <c r="A452" s="46" t="n"/>
      <c r="B452" s="46" t="n"/>
      <c r="C452" s="46" t="n"/>
      <c r="D452" s="46" t="n"/>
      <c r="E452" s="46" t="n"/>
      <c r="F452" s="46">
        <f>IF(A452="","",COUNTIFS($A$2:A452,A452))</f>
        <v/>
      </c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</row>
    <row r="453" ht="22" customHeight="1">
      <c r="A453" s="48" t="n"/>
      <c r="B453" s="48" t="n"/>
      <c r="C453" s="48" t="n"/>
      <c r="D453" s="48" t="n"/>
      <c r="E453" s="48" t="n"/>
      <c r="F453" s="48">
        <f>IF(A453="","",COUNTIFS($A$2:A453,A453))</f>
        <v/>
      </c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</row>
    <row r="454" ht="22" customHeight="1">
      <c r="A454" s="46" t="n"/>
      <c r="B454" s="46" t="n"/>
      <c r="C454" s="46" t="n"/>
      <c r="D454" s="46" t="n"/>
      <c r="E454" s="46" t="n"/>
      <c r="F454" s="46">
        <f>IF(A454="","",COUNTIFS($A$2:A454,A454))</f>
        <v/>
      </c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</row>
    <row r="455" ht="22" customHeight="1">
      <c r="A455" s="48" t="n"/>
      <c r="B455" s="48" t="n"/>
      <c r="C455" s="48" t="n"/>
      <c r="D455" s="48" t="n"/>
      <c r="E455" s="48" t="n"/>
      <c r="F455" s="48">
        <f>IF(A455="","",COUNTIFS($A$2:A455,A455))</f>
        <v/>
      </c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</row>
    <row r="456" ht="22" customHeight="1">
      <c r="A456" s="46" t="n"/>
      <c r="B456" s="46" t="n"/>
      <c r="C456" s="46" t="n"/>
      <c r="D456" s="46" t="n"/>
      <c r="E456" s="46" t="n"/>
      <c r="F456" s="46">
        <f>IF(A456="","",COUNTIFS($A$2:A456,A456))</f>
        <v/>
      </c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</row>
    <row r="457" ht="22" customHeight="1">
      <c r="A457" s="48" t="n"/>
      <c r="B457" s="48" t="n"/>
      <c r="C457" s="48" t="n"/>
      <c r="D457" s="48" t="n"/>
      <c r="E457" s="48" t="n"/>
      <c r="F457" s="48">
        <f>IF(A457="","",COUNTIFS($A$2:A457,A457))</f>
        <v/>
      </c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</row>
    <row r="458" ht="22" customHeight="1">
      <c r="A458" s="46" t="n"/>
      <c r="B458" s="46" t="n"/>
      <c r="C458" s="46" t="n"/>
      <c r="D458" s="46" t="n"/>
      <c r="E458" s="46" t="n"/>
      <c r="F458" s="46">
        <f>IF(A458="","",COUNTIFS($A$2:A458,A458))</f>
        <v/>
      </c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</row>
    <row r="459" ht="22" customHeight="1">
      <c r="A459" s="48" t="n"/>
      <c r="B459" s="48" t="n"/>
      <c r="C459" s="48" t="n"/>
      <c r="D459" s="48" t="n"/>
      <c r="E459" s="48" t="n"/>
      <c r="F459" s="48">
        <f>IF(A459="","",COUNTIFS($A$2:A459,A459))</f>
        <v/>
      </c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</row>
    <row r="460" ht="22" customHeight="1">
      <c r="A460" s="46" t="n"/>
      <c r="B460" s="46" t="n"/>
      <c r="C460" s="46" t="n"/>
      <c r="D460" s="46" t="n"/>
      <c r="E460" s="46" t="n"/>
      <c r="F460" s="46">
        <f>IF(A460="","",COUNTIFS($A$2:A460,A460))</f>
        <v/>
      </c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</row>
    <row r="461" ht="22" customHeight="1">
      <c r="A461" s="48" t="n"/>
      <c r="B461" s="48" t="n"/>
      <c r="C461" s="48" t="n"/>
      <c r="D461" s="48" t="n"/>
      <c r="E461" s="48" t="n"/>
      <c r="F461" s="48">
        <f>IF(A461="","",COUNTIFS($A$2:A461,A461))</f>
        <v/>
      </c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</row>
    <row r="462" ht="22" customHeight="1">
      <c r="A462" s="46" t="n"/>
      <c r="B462" s="46" t="n"/>
      <c r="C462" s="46" t="n"/>
      <c r="D462" s="46" t="n"/>
      <c r="E462" s="46" t="n"/>
      <c r="F462" s="46">
        <f>IF(A462="","",COUNTIFS($A$2:A462,A462))</f>
        <v/>
      </c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</row>
    <row r="463" ht="22" customHeight="1">
      <c r="A463" s="48" t="n"/>
      <c r="B463" s="48" t="n"/>
      <c r="C463" s="48" t="n"/>
      <c r="D463" s="48" t="n"/>
      <c r="E463" s="48" t="n"/>
      <c r="F463" s="48">
        <f>IF(A463="","",COUNTIFS($A$2:A463,A463))</f>
        <v/>
      </c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</row>
    <row r="464" ht="22" customHeight="1">
      <c r="A464" s="46" t="n"/>
      <c r="B464" s="46" t="n"/>
      <c r="C464" s="46" t="n"/>
      <c r="D464" s="46" t="n"/>
      <c r="E464" s="46" t="n"/>
      <c r="F464" s="46">
        <f>IF(A464="","",COUNTIFS($A$2:A464,A464))</f>
        <v/>
      </c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</row>
    <row r="465" ht="22" customHeight="1">
      <c r="A465" s="48" t="n"/>
      <c r="B465" s="48" t="n"/>
      <c r="C465" s="48" t="n"/>
      <c r="D465" s="48" t="n"/>
      <c r="E465" s="48" t="n"/>
      <c r="F465" s="48">
        <f>IF(A465="","",COUNTIFS($A$2:A465,A465))</f>
        <v/>
      </c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</row>
    <row r="466" ht="22" customHeight="1">
      <c r="A466" s="46" t="n"/>
      <c r="B466" s="46" t="n"/>
      <c r="C466" s="46" t="n"/>
      <c r="D466" s="46" t="n"/>
      <c r="E466" s="46" t="n"/>
      <c r="F466" s="46">
        <f>IF(A466="","",COUNTIFS($A$2:A466,A466))</f>
        <v/>
      </c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</row>
    <row r="467" ht="22" customHeight="1">
      <c r="A467" s="48" t="n"/>
      <c r="B467" s="48" t="n"/>
      <c r="C467" s="48" t="n"/>
      <c r="D467" s="48" t="n"/>
      <c r="E467" s="48" t="n"/>
      <c r="F467" s="48">
        <f>IF(A467="","",COUNTIFS($A$2:A467,A467))</f>
        <v/>
      </c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</row>
    <row r="468" ht="22" customHeight="1">
      <c r="A468" s="46" t="n"/>
      <c r="B468" s="46" t="n"/>
      <c r="C468" s="46" t="n"/>
      <c r="D468" s="46" t="n"/>
      <c r="E468" s="46" t="n"/>
      <c r="F468" s="46">
        <f>IF(A468="","",COUNTIFS($A$2:A468,A468))</f>
        <v/>
      </c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</row>
    <row r="469" ht="22" customHeight="1">
      <c r="A469" s="48" t="n"/>
      <c r="B469" s="48" t="n"/>
      <c r="C469" s="48" t="n"/>
      <c r="D469" s="48" t="n"/>
      <c r="E469" s="48" t="n"/>
      <c r="F469" s="48">
        <f>IF(A469="","",COUNTIFS($A$2:A469,A469))</f>
        <v/>
      </c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</row>
    <row r="470" ht="22" customHeight="1">
      <c r="A470" s="46" t="n"/>
      <c r="B470" s="46" t="n"/>
      <c r="C470" s="46" t="n"/>
      <c r="D470" s="46" t="n"/>
      <c r="E470" s="46" t="n"/>
      <c r="F470" s="46">
        <f>IF(A470="","",COUNTIFS($A$2:A470,A470))</f>
        <v/>
      </c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</row>
    <row r="471" ht="22" customHeight="1">
      <c r="A471" s="48" t="n"/>
      <c r="B471" s="48" t="n"/>
      <c r="C471" s="48" t="n"/>
      <c r="D471" s="48" t="n"/>
      <c r="E471" s="48" t="n"/>
      <c r="F471" s="48">
        <f>IF(A471="","",COUNTIFS($A$2:A471,A471))</f>
        <v/>
      </c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</row>
    <row r="472" ht="22" customHeight="1">
      <c r="A472" s="46" t="n"/>
      <c r="B472" s="46" t="n"/>
      <c r="C472" s="46" t="n"/>
      <c r="D472" s="46" t="n"/>
      <c r="E472" s="46" t="n"/>
      <c r="F472" s="46">
        <f>IF(A472="","",COUNTIFS($A$2:A472,A472))</f>
        <v/>
      </c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</row>
    <row r="473" ht="22" customHeight="1">
      <c r="A473" s="48" t="n"/>
      <c r="B473" s="48" t="n"/>
      <c r="C473" s="48" t="n"/>
      <c r="D473" s="48" t="n"/>
      <c r="E473" s="48" t="n"/>
      <c r="F473" s="48">
        <f>IF(A473="","",COUNTIFS($A$2:A473,A473))</f>
        <v/>
      </c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</row>
    <row r="474" ht="22" customHeight="1">
      <c r="A474" s="46" t="n"/>
      <c r="B474" s="46" t="n"/>
      <c r="C474" s="46" t="n"/>
      <c r="D474" s="46" t="n"/>
      <c r="E474" s="46" t="n"/>
      <c r="F474" s="46">
        <f>IF(A474="","",COUNTIFS($A$2:A474,A474))</f>
        <v/>
      </c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</row>
    <row r="475" ht="22" customHeight="1">
      <c r="A475" s="48" t="n"/>
      <c r="B475" s="48" t="n"/>
      <c r="C475" s="48" t="n"/>
      <c r="D475" s="48" t="n"/>
      <c r="E475" s="48" t="n"/>
      <c r="F475" s="48">
        <f>IF(A475="","",COUNTIFS($A$2:A475,A475))</f>
        <v/>
      </c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</row>
    <row r="476" ht="22" customHeight="1">
      <c r="A476" s="46" t="n"/>
      <c r="B476" s="46" t="n"/>
      <c r="C476" s="46" t="n"/>
      <c r="D476" s="46" t="n"/>
      <c r="E476" s="46" t="n"/>
      <c r="F476" s="46">
        <f>IF(A476="","",COUNTIFS($A$2:A476,A476))</f>
        <v/>
      </c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</row>
    <row r="477" ht="22" customHeight="1">
      <c r="A477" s="48" t="n"/>
      <c r="B477" s="48" t="n"/>
      <c r="C477" s="48" t="n"/>
      <c r="D477" s="48" t="n"/>
      <c r="E477" s="48" t="n"/>
      <c r="F477" s="48">
        <f>IF(A477="","",COUNTIFS($A$2:A477,A477))</f>
        <v/>
      </c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</row>
    <row r="478" ht="22" customHeight="1">
      <c r="A478" s="46" t="n"/>
      <c r="B478" s="46" t="n"/>
      <c r="C478" s="46" t="n"/>
      <c r="D478" s="46" t="n"/>
      <c r="E478" s="46" t="n"/>
      <c r="F478" s="46">
        <f>IF(A478="","",COUNTIFS($A$2:A478,A478))</f>
        <v/>
      </c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</row>
    <row r="479" ht="22" customHeight="1">
      <c r="A479" s="48" t="n"/>
      <c r="B479" s="48" t="n"/>
      <c r="C479" s="48" t="n"/>
      <c r="D479" s="48" t="n"/>
      <c r="E479" s="48" t="n"/>
      <c r="F479" s="48">
        <f>IF(A479="","",COUNTIFS($A$2:A479,A479))</f>
        <v/>
      </c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</row>
    <row r="480" ht="22" customHeight="1">
      <c r="A480" s="46" t="n"/>
      <c r="B480" s="46" t="n"/>
      <c r="C480" s="46" t="n"/>
      <c r="D480" s="46" t="n"/>
      <c r="E480" s="46" t="n"/>
      <c r="F480" s="46">
        <f>IF(A480="","",COUNTIFS($A$2:A480,A480))</f>
        <v/>
      </c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</row>
    <row r="481" ht="22" customHeight="1">
      <c r="A481" s="48" t="n"/>
      <c r="B481" s="48" t="n"/>
      <c r="C481" s="48" t="n"/>
      <c r="D481" s="48" t="n"/>
      <c r="E481" s="48" t="n"/>
      <c r="F481" s="48">
        <f>IF(A481="","",COUNTIFS($A$2:A481,A481))</f>
        <v/>
      </c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</row>
    <row r="482" ht="22" customHeight="1">
      <c r="A482" s="46" t="n"/>
      <c r="B482" s="46" t="n"/>
      <c r="C482" s="46" t="n"/>
      <c r="D482" s="46" t="n"/>
      <c r="E482" s="46" t="n"/>
      <c r="F482" s="46">
        <f>IF(A482="","",COUNTIFS($A$2:A482,A482))</f>
        <v/>
      </c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</row>
    <row r="483" ht="22" customHeight="1">
      <c r="A483" s="48" t="n"/>
      <c r="B483" s="48" t="n"/>
      <c r="C483" s="48" t="n"/>
      <c r="D483" s="48" t="n"/>
      <c r="E483" s="48" t="n"/>
      <c r="F483" s="48">
        <f>IF(A483="","",COUNTIFS($A$2:A483,A483))</f>
        <v/>
      </c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</row>
    <row r="484" ht="22" customHeight="1">
      <c r="A484" s="46" t="n"/>
      <c r="B484" s="46" t="n"/>
      <c r="C484" s="46" t="n"/>
      <c r="D484" s="46" t="n"/>
      <c r="E484" s="46" t="n"/>
      <c r="F484" s="46">
        <f>IF(A484="","",COUNTIFS($A$2:A484,A484))</f>
        <v/>
      </c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</row>
    <row r="485" ht="22" customHeight="1">
      <c r="A485" s="48" t="n"/>
      <c r="B485" s="48" t="n"/>
      <c r="C485" s="48" t="n"/>
      <c r="D485" s="48" t="n"/>
      <c r="E485" s="48" t="n"/>
      <c r="F485" s="48">
        <f>IF(A485="","",COUNTIFS($A$2:A485,A485))</f>
        <v/>
      </c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</row>
    <row r="486" ht="22" customHeight="1">
      <c r="A486" s="46" t="n"/>
      <c r="B486" s="46" t="n"/>
      <c r="C486" s="46" t="n"/>
      <c r="D486" s="46" t="n"/>
      <c r="E486" s="46" t="n"/>
      <c r="F486" s="46">
        <f>IF(A486="","",COUNTIFS($A$2:A486,A486))</f>
        <v/>
      </c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</row>
    <row r="487" ht="22" customHeight="1">
      <c r="A487" s="48" t="n"/>
      <c r="B487" s="48" t="n"/>
      <c r="C487" s="48" t="n"/>
      <c r="D487" s="48" t="n"/>
      <c r="E487" s="48" t="n"/>
      <c r="F487" s="48">
        <f>IF(A487="","",COUNTIFS($A$2:A487,A487))</f>
        <v/>
      </c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</row>
    <row r="488" ht="22" customHeight="1">
      <c r="A488" s="46" t="n"/>
      <c r="B488" s="46" t="n"/>
      <c r="C488" s="46" t="n"/>
      <c r="D488" s="46" t="n"/>
      <c r="E488" s="46" t="n"/>
      <c r="F488" s="46">
        <f>IF(A488="","",COUNTIFS($A$2:A488,A488))</f>
        <v/>
      </c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</row>
    <row r="489" ht="22" customHeight="1">
      <c r="A489" s="48" t="n"/>
      <c r="B489" s="48" t="n"/>
      <c r="C489" s="48" t="n"/>
      <c r="D489" s="48" t="n"/>
      <c r="E489" s="48" t="n"/>
      <c r="F489" s="48">
        <f>IF(A489="","",COUNTIFS($A$2:A489,A489))</f>
        <v/>
      </c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</row>
    <row r="490" ht="22" customHeight="1">
      <c r="A490" s="46" t="n"/>
      <c r="B490" s="46" t="n"/>
      <c r="C490" s="46" t="n"/>
      <c r="D490" s="46" t="n"/>
      <c r="E490" s="46" t="n"/>
      <c r="F490" s="46">
        <f>IF(A490="","",COUNTIFS($A$2:A490,A490))</f>
        <v/>
      </c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</row>
    <row r="491" ht="22" customHeight="1">
      <c r="A491" s="48" t="n"/>
      <c r="B491" s="48" t="n"/>
      <c r="C491" s="48" t="n"/>
      <c r="D491" s="48" t="n"/>
      <c r="E491" s="48" t="n"/>
      <c r="F491" s="48">
        <f>IF(A491="","",COUNTIFS($A$2:A491,A491))</f>
        <v/>
      </c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</row>
    <row r="492" ht="22" customHeight="1">
      <c r="A492" s="46" t="n"/>
      <c r="B492" s="46" t="n"/>
      <c r="C492" s="46" t="n"/>
      <c r="D492" s="46" t="n"/>
      <c r="E492" s="46" t="n"/>
      <c r="F492" s="46">
        <f>IF(A492="","",COUNTIFS($A$2:A492,A492))</f>
        <v/>
      </c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</row>
    <row r="493" ht="22" customHeight="1">
      <c r="A493" s="48" t="n"/>
      <c r="B493" s="48" t="n"/>
      <c r="C493" s="48" t="n"/>
      <c r="D493" s="48" t="n"/>
      <c r="E493" s="48" t="n"/>
      <c r="F493" s="48">
        <f>IF(A493="","",COUNTIFS($A$2:A493,A493))</f>
        <v/>
      </c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</row>
    <row r="494" ht="22" customHeight="1">
      <c r="A494" s="46" t="n"/>
      <c r="B494" s="46" t="n"/>
      <c r="C494" s="46" t="n"/>
      <c r="D494" s="46" t="n"/>
      <c r="E494" s="46" t="n"/>
      <c r="F494" s="46">
        <f>IF(A494="","",COUNTIFS($A$2:A494,A494))</f>
        <v/>
      </c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</row>
    <row r="495" ht="22" customHeight="1">
      <c r="A495" s="48" t="n"/>
      <c r="B495" s="48" t="n"/>
      <c r="C495" s="48" t="n"/>
      <c r="D495" s="48" t="n"/>
      <c r="E495" s="48" t="n"/>
      <c r="F495" s="48">
        <f>IF(A495="","",COUNTIFS($A$2:A495,A495))</f>
        <v/>
      </c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</row>
    <row r="496" ht="22" customHeight="1">
      <c r="A496" s="46" t="n"/>
      <c r="B496" s="46" t="n"/>
      <c r="C496" s="46" t="n"/>
      <c r="D496" s="46" t="n"/>
      <c r="E496" s="46" t="n"/>
      <c r="F496" s="46">
        <f>IF(A496="","",COUNTIFS($A$2:A496,A496))</f>
        <v/>
      </c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</row>
    <row r="497" ht="22" customHeight="1">
      <c r="A497" s="48" t="n"/>
      <c r="B497" s="48" t="n"/>
      <c r="C497" s="48" t="n"/>
      <c r="D497" s="48" t="n"/>
      <c r="E497" s="48" t="n"/>
      <c r="F497" s="48">
        <f>IF(A497="","",COUNTIFS($A$2:A497,A497))</f>
        <v/>
      </c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</row>
    <row r="498" ht="22" customHeight="1">
      <c r="A498" s="46" t="n"/>
      <c r="B498" s="46" t="n"/>
      <c r="C498" s="46" t="n"/>
      <c r="D498" s="46" t="n"/>
      <c r="E498" s="46" t="n"/>
      <c r="F498" s="46">
        <f>IF(A498="","",COUNTIFS($A$2:A498,A498))</f>
        <v/>
      </c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</row>
    <row r="499" ht="22" customHeight="1">
      <c r="A499" s="48" t="n"/>
      <c r="B499" s="48" t="n"/>
      <c r="C499" s="48" t="n"/>
      <c r="D499" s="48" t="n"/>
      <c r="E499" s="48" t="n"/>
      <c r="F499" s="48">
        <f>IF(A499="","",COUNTIFS($A$2:A499,A499))</f>
        <v/>
      </c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</row>
    <row r="500" ht="22" customHeight="1">
      <c r="A500" s="46" t="n"/>
      <c r="B500" s="46" t="n"/>
      <c r="C500" s="46" t="n"/>
      <c r="D500" s="46" t="n"/>
      <c r="E500" s="46" t="n"/>
      <c r="F500" s="46">
        <f>IF(A500="","",COUNTIFS($A$2:A500,A500))</f>
        <v/>
      </c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</row>
  </sheetData>
  <autoFilter ref="A1:Q500"/>
  <conditionalFormatting sqref="K2:K500">
    <cfRule type="cellIs" priority="1" operator="equal" dxfId="3">
      <formula>"Passed"</formula>
    </cfRule>
    <cfRule type="cellIs" priority="2" operator="equal" dxfId="4">
      <formula>"Failed"</formula>
    </cfRule>
    <cfRule type="cellIs" priority="3" operator="equal" dxfId="0">
      <formula>"Pending"</formula>
    </cfRule>
    <cfRule type="cellIs" priority="4" operator="equal" dxfId="5">
      <formula>"Cancelled"</formula>
    </cfRule>
    <cfRule type="cellIs" priority="5" operator="equal" dxfId="2">
      <formula>"Rescheduled"</formula>
    </cfRule>
  </conditionalFormatting>
  <dataValidations count="5">
    <dataValidation sqref="C2:C500" showDropDown="0" showInputMessage="0" showErrorMessage="0" allowBlank="1" errorTitle="Invalid Entry" error="Please select a value from the dropdown" promptTitle="Choose" prompt="Select from dropdown" type="list">
      <formula1>"Phone Screen,HR Interview,Technical Interview,System Design,Behavioral,Final Interview,Take-Home,Onsite"</formula1>
    </dataValidation>
    <dataValidation sqref="K2:K500" showDropDown="0" showInputMessage="0" showErrorMessage="0" allowBlank="1" errorTitle="Invalid Entry" error="Please select a value from the dropdown" promptTitle="Choose" prompt="Select from dropdown" type="list">
      <formula1>"Pending,Passed,Failed,Cancelled,Rescheduled"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"Not Started,In Progress,Completed"</formula1>
    </dataValidation>
    <dataValidation sqref="J2:J500" showDropDown="0" showInputMessage="0" showErrorMessage="0" allowBlank="1" errorTitle="Invalid Entry" error="Please select a value from the dropdown" promptTitle="Choose" prompt="Select from dropdown" type="list">
      <formula1>"Easy,Medium,Hard"</formula1>
    </dataValidation>
    <dataValidation sqref="I2:I500" showDropDown="0" showInputMessage="0" showErrorMessage="0" allowBlank="1" errorTitle="Invalid Entry" error="Please select a value from the dropdown" promptTitle="Choose" prompt="Select from dropdown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O5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8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18" customWidth="1" min="10" max="10"/>
    <col width="12" customWidth="1" min="11" max="11"/>
    <col width="10" customWidth="1" min="12" max="12"/>
    <col width="14" customWidth="1" min="13" max="13"/>
    <col width="20" customWidth="1" min="14" max="14"/>
    <col width="30" customWidth="1" min="15" max="15"/>
  </cols>
  <sheetData>
    <row r="1" ht="28" customHeight="1">
      <c r="A1" s="45" t="inlineStr">
        <is>
          <t>Recruiter Name</t>
        </is>
      </c>
      <c r="B1" s="45" t="inlineStr">
        <is>
          <t>Company</t>
        </is>
      </c>
      <c r="C1" s="45" t="inlineStr">
        <is>
          <t>Email</t>
        </is>
      </c>
      <c r="D1" s="45" t="inlineStr">
        <is>
          <t>LinkedIn</t>
        </is>
      </c>
      <c r="E1" s="45" t="inlineStr">
        <is>
          <t>Position</t>
        </is>
      </c>
      <c r="F1" s="45" t="inlineStr">
        <is>
          <t>Last Contact</t>
        </is>
      </c>
      <c r="G1" s="45" t="inlineStr">
        <is>
          <t>Last Reply</t>
        </is>
      </c>
      <c r="H1" s="45" t="inlineStr">
        <is>
          <t>Avg Response Time (days)</t>
        </is>
      </c>
      <c r="I1" s="45" t="inlineStr">
        <is>
          <t>Next Follow-up</t>
        </is>
      </c>
      <c r="J1" s="45" t="inlineStr">
        <is>
          <t>Relationship Status</t>
        </is>
      </c>
      <c r="K1" s="45" t="inlineStr">
        <is>
          <t>Company Rating</t>
        </is>
      </c>
      <c r="L1" s="45" t="inlineStr">
        <is>
          <t>Priority</t>
        </is>
      </c>
      <c r="M1" s="45" t="inlineStr">
        <is>
          <t>Reminder Status</t>
        </is>
      </c>
      <c r="N1" s="45" t="inlineStr">
        <is>
          <t>Next Action</t>
        </is>
      </c>
      <c r="O1" s="45" t="inlineStr">
        <is>
          <t>Notes</t>
        </is>
      </c>
    </row>
    <row r="2" ht="22" customHeight="1">
      <c r="A2" s="46" t="inlineStr">
        <is>
          <t>John Doe</t>
        </is>
      </c>
      <c r="B2" s="46" t="inlineStr">
        <is>
          <t>Tech Corp</t>
        </is>
      </c>
      <c r="C2" s="46" t="inlineStr">
        <is>
          <t>john@techcorp.com</t>
        </is>
      </c>
      <c r="D2" s="46" t="inlineStr">
        <is>
          <t>linkedin.com/in/johndoe</t>
        </is>
      </c>
      <c r="E2" s="46" t="inlineStr">
        <is>
          <t>Technical Recruiter</t>
        </is>
      </c>
      <c r="F2" s="46" t="inlineStr"/>
      <c r="G2" s="46" t="inlineStr"/>
      <c r="H2" s="46" t="inlineStr">
        <is>
          <t>5</t>
        </is>
      </c>
      <c r="I2" s="46" t="inlineStr"/>
      <c r="J2" s="46" t="n"/>
      <c r="K2" s="46" t="n"/>
      <c r="L2" s="46" t="n"/>
      <c r="M2" s="46" t="n"/>
      <c r="N2" s="46" t="n"/>
      <c r="O2" s="46" t="inlineStr">
        <is>
          <t>5</t>
        </is>
      </c>
    </row>
    <row r="3" ht="22" customHeigh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</row>
    <row r="4" ht="2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</row>
    <row r="5" ht="22" customHeight="1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</row>
    <row r="6" ht="22" customHeight="1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</row>
    <row r="7" ht="22" customHeight="1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</row>
    <row r="8" ht="22" customHeight="1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</row>
    <row r="9" ht="22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 ht="22" customHeight="1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</row>
    <row r="11" ht="22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 ht="22" customHeight="1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</row>
    <row r="13" ht="22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 ht="22" customHeight="1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</row>
    <row r="15" ht="22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 ht="22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</row>
    <row r="17" ht="22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 ht="22" customHeight="1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</row>
    <row r="19" ht="22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 ht="22" customHeight="1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</row>
    <row r="21" ht="22" customHeight="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 ht="22" customHeight="1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</row>
    <row r="23" ht="22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 ht="22" customHeight="1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</row>
    <row r="25" ht="22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 ht="22" customHeight="1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</row>
    <row r="27" ht="22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 ht="22" customHeight="1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</row>
    <row r="29" ht="22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 ht="22" customHeight="1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</row>
    <row r="31" ht="22" customHeight="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 ht="22" customHeight="1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</row>
    <row r="33" ht="22" customHeight="1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 ht="22" customHeight="1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</row>
    <row r="35" ht="22" customHeight="1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 ht="22" customHeight="1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</row>
    <row r="37" ht="22" customHeight="1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 ht="22" customHeight="1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</row>
    <row r="39" ht="22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 ht="22" customHeight="1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</row>
    <row r="41" ht="22" customHeight="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 ht="22" customHeight="1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</row>
    <row r="43" ht="22" customHeight="1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 ht="22" customHeight="1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</row>
    <row r="45" ht="22" customHeight="1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 ht="22" customHeight="1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</row>
    <row r="47" ht="22" customHeight="1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 ht="22" customHeight="1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</row>
    <row r="49" ht="22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 ht="22" customHeight="1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</row>
    <row r="51" ht="22" customHeight="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 ht="22" customHeight="1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</row>
    <row r="53" ht="22" customHeight="1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 ht="22" customHeight="1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</row>
    <row r="55" ht="22" customHeight="1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 ht="22" customHeight="1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</row>
    <row r="57" ht="22" customHeight="1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 ht="22" customHeight="1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</row>
    <row r="59" ht="22" customHeight="1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</row>
    <row r="60" ht="22" customHeight="1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</row>
    <row r="61" ht="22" customHeight="1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</row>
    <row r="62" ht="22" customHeight="1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</row>
    <row r="63" ht="22" customHeight="1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</row>
    <row r="64" ht="22" customHeight="1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</row>
    <row r="65" ht="22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</row>
    <row r="66" ht="22" customHeight="1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</row>
    <row r="67" ht="22" customHeight="1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</row>
    <row r="68" ht="22" customHeight="1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</row>
    <row r="69" ht="22" customHeight="1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</row>
    <row r="70" ht="22" customHeight="1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</row>
    <row r="71" ht="22" customHeight="1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</row>
    <row r="72" ht="22" customHeight="1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</row>
    <row r="73" ht="22" customHeight="1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</row>
    <row r="74" ht="22" customHeight="1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</row>
    <row r="75" ht="22" customHeight="1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</row>
    <row r="76" ht="22" customHeight="1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</row>
    <row r="77" ht="22" customHeight="1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</row>
    <row r="78" ht="22" customHeight="1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</row>
    <row r="79" ht="22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</row>
    <row r="80" ht="22" customHeight="1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</row>
    <row r="81" ht="22" customHeight="1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</row>
    <row r="82" ht="22" customHeight="1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</row>
    <row r="83" ht="22" customHeight="1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</row>
    <row r="84" ht="22" customHeight="1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</row>
    <row r="85" ht="22" customHeight="1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</row>
    <row r="86" ht="22" customHeight="1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</row>
    <row r="87" ht="22" customHeight="1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</row>
    <row r="88" ht="22" customHeight="1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</row>
    <row r="89" ht="22" customHeight="1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</row>
    <row r="90" ht="22" customHeight="1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</row>
    <row r="91" ht="22" customHeight="1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</row>
    <row r="92" ht="22" customHeight="1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</row>
    <row r="93" ht="22" customHeight="1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</row>
    <row r="94" ht="22" customHeight="1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</row>
    <row r="95" ht="22" customHeight="1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</row>
    <row r="96" ht="22" customHeight="1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</row>
    <row r="97" ht="22" customHeight="1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</row>
    <row r="98" ht="22" customHeight="1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</row>
    <row r="99" ht="22" customHeight="1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</row>
    <row r="100" ht="22" customHeight="1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</row>
    <row r="101" ht="22" customHeight="1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</row>
    <row r="102" ht="22" customHeight="1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</row>
    <row r="103" ht="22" customHeight="1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</row>
    <row r="104" ht="22" customHeight="1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</row>
    <row r="105" ht="22" customHeight="1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</row>
    <row r="106" ht="22" customHeight="1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</row>
    <row r="107" ht="22" customHeight="1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</row>
    <row r="108" ht="22" customHeight="1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</row>
    <row r="109" ht="22" customHeight="1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</row>
    <row r="110" ht="22" customHeight="1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</row>
    <row r="111" ht="22" customHeight="1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</row>
    <row r="112" ht="22" customHeight="1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</row>
    <row r="113" ht="22" customHeight="1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</row>
    <row r="114" ht="22" customHeight="1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</row>
    <row r="115" ht="22" customHeight="1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</row>
    <row r="116" ht="22" customHeight="1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</row>
    <row r="117" ht="22" customHeight="1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</row>
    <row r="118" ht="22" customHeight="1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</row>
    <row r="119" ht="22" customHeight="1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</row>
    <row r="120" ht="22" customHeight="1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</row>
    <row r="121" ht="22" customHeight="1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</row>
    <row r="122" ht="22" customHeight="1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</row>
    <row r="123" ht="22" customHeight="1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</row>
    <row r="124" ht="22" customHeight="1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</row>
    <row r="125" ht="22" customHeight="1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</row>
    <row r="126" ht="22" customHeight="1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</row>
    <row r="127" ht="22" customHeight="1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</row>
    <row r="128" ht="22" customHeight="1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</row>
    <row r="129" ht="22" customHeight="1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</row>
    <row r="130" ht="22" customHeight="1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</row>
    <row r="131" ht="22" customHeight="1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</row>
    <row r="132" ht="22" customHeight="1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</row>
    <row r="133" ht="22" customHeight="1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</row>
    <row r="134" ht="22" customHeight="1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</row>
    <row r="135" ht="22" customHeight="1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</row>
    <row r="136" ht="22" customHeight="1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</row>
    <row r="137" ht="22" customHeight="1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</row>
    <row r="138" ht="22" customHeight="1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</row>
    <row r="139" ht="22" customHeight="1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</row>
    <row r="140" ht="22" customHeight="1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</row>
    <row r="141" ht="22" customHeight="1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</row>
    <row r="142" ht="22" customHeight="1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</row>
    <row r="143" ht="22" customHeight="1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</row>
    <row r="144" ht="22" customHeight="1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</row>
    <row r="145" ht="22" customHeight="1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</row>
    <row r="146" ht="22" customHeight="1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</row>
    <row r="147" ht="22" customHeight="1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</row>
    <row r="148" ht="22" customHeight="1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</row>
    <row r="149" ht="22" customHeight="1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</row>
    <row r="150" ht="22" customHeight="1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</row>
    <row r="151" ht="22" customHeight="1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</row>
    <row r="152" ht="22" customHeight="1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</row>
    <row r="153" ht="22" customHeight="1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</row>
    <row r="154" ht="22" customHeight="1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</row>
    <row r="155" ht="22" customHeight="1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</row>
    <row r="156" ht="22" customHeight="1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</row>
    <row r="157" ht="22" customHeight="1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</row>
    <row r="158" ht="22" customHeight="1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</row>
    <row r="159" ht="22" customHeight="1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</row>
    <row r="160" ht="22" customHeight="1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</row>
    <row r="161" ht="22" customHeight="1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</row>
    <row r="162" ht="22" customHeight="1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</row>
    <row r="163" ht="22" customHeight="1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</row>
    <row r="164" ht="22" customHeight="1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</row>
    <row r="165" ht="22" customHeight="1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</row>
    <row r="166" ht="22" customHeight="1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</row>
    <row r="167" ht="22" customHeight="1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</row>
    <row r="168" ht="22" customHeight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</row>
    <row r="169" ht="22" customHeight="1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</row>
    <row r="170" ht="22" customHeight="1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</row>
    <row r="171" ht="22" customHeight="1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</row>
    <row r="172" ht="22" customHeight="1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</row>
    <row r="173" ht="22" customHeight="1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</row>
    <row r="174" ht="22" customHeight="1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</row>
    <row r="175" ht="22" customHeight="1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</row>
    <row r="176" ht="22" customHeight="1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</row>
    <row r="177" ht="22" customHeight="1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</row>
    <row r="178" ht="22" customHeight="1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</row>
    <row r="179" ht="22" customHeight="1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</row>
    <row r="180" ht="22" customHeight="1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</row>
    <row r="181" ht="22" customHeight="1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</row>
    <row r="182" ht="22" customHeight="1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</row>
    <row r="183" ht="22" customHeight="1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</row>
    <row r="184" ht="22" customHeight="1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</row>
    <row r="185" ht="22" customHeight="1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</row>
    <row r="186" ht="22" customHeight="1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</row>
    <row r="187" ht="22" customHeight="1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</row>
    <row r="188" ht="22" customHeight="1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</row>
    <row r="189" ht="22" customHeight="1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</row>
    <row r="190" ht="22" customHeight="1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</row>
    <row r="191" ht="22" customHeight="1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</row>
    <row r="192" ht="22" customHeight="1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</row>
    <row r="193" ht="22" customHeight="1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</row>
    <row r="194" ht="22" customHeight="1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</row>
    <row r="195" ht="22" customHeight="1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</row>
    <row r="196" ht="22" customHeight="1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</row>
    <row r="197" ht="22" customHeight="1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</row>
    <row r="198" ht="22" customHeight="1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</row>
    <row r="199" ht="22" customHeight="1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</row>
    <row r="200" ht="22" customHeight="1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</row>
    <row r="201" ht="22" customHeight="1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</row>
    <row r="202" ht="22" customHeight="1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</row>
    <row r="203" ht="22" customHeight="1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</row>
    <row r="204" ht="22" customHeight="1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</row>
    <row r="205" ht="22" customHeight="1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</row>
    <row r="206" ht="22" customHeight="1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</row>
    <row r="207" ht="22" customHeight="1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</row>
    <row r="208" ht="22" customHeight="1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</row>
    <row r="209" ht="22" customHeight="1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</row>
    <row r="210" ht="22" customHeight="1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</row>
    <row r="211" ht="22" customHeight="1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</row>
    <row r="212" ht="22" customHeight="1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</row>
    <row r="213" ht="22" customHeight="1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</row>
    <row r="214" ht="22" customHeight="1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</row>
    <row r="215" ht="22" customHeight="1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</row>
    <row r="216" ht="22" customHeight="1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</row>
    <row r="217" ht="22" customHeight="1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</row>
    <row r="218" ht="22" customHeight="1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</row>
    <row r="219" ht="22" customHeight="1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</row>
    <row r="220" ht="22" customHeight="1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</row>
    <row r="221" ht="22" customHeight="1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</row>
    <row r="222" ht="22" customHeight="1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</row>
    <row r="223" ht="22" customHeight="1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</row>
    <row r="224" ht="22" customHeight="1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</row>
    <row r="225" ht="22" customHeight="1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</row>
    <row r="226" ht="22" customHeight="1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</row>
    <row r="227" ht="22" customHeight="1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</row>
    <row r="228" ht="22" customHeight="1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</row>
    <row r="229" ht="22" customHeight="1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</row>
    <row r="230" ht="22" customHeight="1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</row>
    <row r="231" ht="22" customHeight="1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</row>
    <row r="232" ht="22" customHeight="1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</row>
    <row r="233" ht="22" customHeight="1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</row>
    <row r="234" ht="22" customHeight="1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</row>
    <row r="235" ht="22" customHeight="1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</row>
    <row r="236" ht="22" customHeight="1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</row>
    <row r="237" ht="22" customHeight="1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</row>
    <row r="238" ht="22" customHeight="1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</row>
    <row r="239" ht="22" customHeight="1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</row>
    <row r="240" ht="22" customHeight="1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</row>
    <row r="241" ht="22" customHeight="1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</row>
    <row r="242" ht="22" customHeight="1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</row>
    <row r="243" ht="22" customHeight="1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</row>
    <row r="244" ht="22" customHeight="1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</row>
    <row r="245" ht="22" customHeight="1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</row>
    <row r="246" ht="22" customHeight="1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</row>
    <row r="247" ht="22" customHeight="1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</row>
    <row r="248" ht="22" customHeight="1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</row>
    <row r="249" ht="22" customHeight="1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</row>
    <row r="250" ht="22" customHeight="1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</row>
    <row r="251" ht="22" customHeight="1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</row>
    <row r="252" ht="22" customHeight="1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</row>
    <row r="253" ht="22" customHeight="1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</row>
    <row r="254" ht="22" customHeight="1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</row>
    <row r="255" ht="22" customHeight="1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</row>
    <row r="256" ht="22" customHeight="1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</row>
    <row r="257" ht="22" customHeight="1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</row>
    <row r="258" ht="22" customHeight="1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</row>
    <row r="259" ht="22" customHeight="1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</row>
    <row r="260" ht="22" customHeight="1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</row>
    <row r="261" ht="22" customHeight="1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</row>
    <row r="262" ht="22" customHeight="1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</row>
    <row r="263" ht="22" customHeight="1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</row>
    <row r="264" ht="22" customHeight="1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</row>
    <row r="265" ht="22" customHeight="1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</row>
    <row r="266" ht="22" customHeight="1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</row>
    <row r="267" ht="22" customHeight="1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</row>
    <row r="268" ht="22" customHeight="1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</row>
    <row r="269" ht="22" customHeight="1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</row>
    <row r="270" ht="22" customHeight="1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</row>
    <row r="271" ht="22" customHeight="1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</row>
    <row r="272" ht="22" customHeight="1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</row>
    <row r="273" ht="22" customHeight="1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</row>
    <row r="274" ht="22" customHeight="1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</row>
    <row r="275" ht="22" customHeight="1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</row>
    <row r="276" ht="22" customHeight="1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</row>
    <row r="277" ht="22" customHeight="1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</row>
    <row r="278" ht="22" customHeight="1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</row>
    <row r="279" ht="22" customHeight="1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</row>
    <row r="280" ht="22" customHeight="1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</row>
    <row r="281" ht="22" customHeight="1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</row>
    <row r="282" ht="22" customHeight="1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</row>
    <row r="283" ht="22" customHeight="1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</row>
    <row r="284" ht="22" customHeight="1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</row>
    <row r="285" ht="22" customHeight="1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</row>
    <row r="286" ht="22" customHeight="1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</row>
    <row r="287" ht="22" customHeight="1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</row>
    <row r="288" ht="22" customHeight="1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</row>
    <row r="289" ht="22" customHeight="1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</row>
    <row r="290" ht="22" customHeight="1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</row>
    <row r="291" ht="22" customHeight="1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</row>
    <row r="292" ht="22" customHeight="1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</row>
    <row r="293" ht="22" customHeight="1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</row>
    <row r="294" ht="22" customHeight="1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</row>
    <row r="295" ht="22" customHeight="1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</row>
    <row r="296" ht="22" customHeight="1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</row>
    <row r="297" ht="22" customHeight="1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</row>
    <row r="298" ht="22" customHeight="1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</row>
    <row r="299" ht="22" customHeight="1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</row>
    <row r="300" ht="22" customHeight="1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</row>
    <row r="301" ht="22" customHeight="1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</row>
    <row r="302" ht="22" customHeight="1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</row>
    <row r="303" ht="22" customHeight="1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</row>
    <row r="304" ht="22" customHeight="1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</row>
    <row r="305" ht="22" customHeight="1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</row>
    <row r="306" ht="22" customHeight="1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</row>
    <row r="307" ht="22" customHeight="1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</row>
    <row r="308" ht="22" customHeight="1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</row>
    <row r="309" ht="22" customHeight="1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</row>
    <row r="310" ht="22" customHeight="1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</row>
    <row r="311" ht="22" customHeight="1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</row>
    <row r="312" ht="22" customHeight="1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</row>
    <row r="313" ht="22" customHeight="1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</row>
    <row r="314" ht="22" customHeight="1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</row>
    <row r="315" ht="22" customHeight="1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</row>
    <row r="316" ht="22" customHeight="1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</row>
    <row r="317" ht="22" customHeight="1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</row>
    <row r="318" ht="22" customHeight="1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</row>
    <row r="319" ht="22" customHeight="1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</row>
    <row r="320" ht="22" customHeight="1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</row>
    <row r="321" ht="22" customHeight="1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</row>
    <row r="322" ht="22" customHeight="1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</row>
    <row r="323" ht="22" customHeight="1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</row>
    <row r="324" ht="22" customHeight="1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</row>
    <row r="325" ht="22" customHeight="1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</row>
    <row r="326" ht="22" customHeight="1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</row>
    <row r="327" ht="22" customHeight="1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</row>
    <row r="328" ht="22" customHeight="1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</row>
    <row r="329" ht="22" customHeight="1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</row>
    <row r="330" ht="22" customHeight="1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</row>
    <row r="331" ht="22" customHeight="1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</row>
    <row r="332" ht="22" customHeight="1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</row>
    <row r="333" ht="22" customHeight="1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</row>
    <row r="334" ht="22" customHeight="1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</row>
    <row r="335" ht="22" customHeight="1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</row>
    <row r="336" ht="22" customHeight="1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</row>
    <row r="337" ht="22" customHeight="1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</row>
    <row r="338" ht="22" customHeight="1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</row>
    <row r="339" ht="22" customHeight="1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</row>
    <row r="340" ht="22" customHeight="1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</row>
    <row r="341" ht="22" customHeight="1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</row>
    <row r="342" ht="22" customHeight="1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</row>
    <row r="343" ht="22" customHeight="1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</row>
    <row r="344" ht="22" customHeight="1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</row>
    <row r="345" ht="22" customHeight="1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</row>
    <row r="346" ht="22" customHeight="1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</row>
    <row r="347" ht="22" customHeight="1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</row>
    <row r="348" ht="22" customHeight="1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</row>
    <row r="349" ht="22" customHeight="1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</row>
    <row r="350" ht="22" customHeight="1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</row>
    <row r="351" ht="22" customHeight="1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</row>
    <row r="352" ht="22" customHeight="1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</row>
    <row r="353" ht="22" customHeight="1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</row>
    <row r="354" ht="22" customHeight="1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</row>
    <row r="355" ht="22" customHeight="1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</row>
    <row r="356" ht="22" customHeight="1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</row>
    <row r="357" ht="22" customHeight="1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</row>
    <row r="358" ht="22" customHeight="1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</row>
    <row r="359" ht="22" customHeight="1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</row>
    <row r="360" ht="22" customHeight="1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</row>
    <row r="361" ht="22" customHeight="1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</row>
    <row r="362" ht="22" customHeight="1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</row>
    <row r="363" ht="22" customHeight="1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</row>
    <row r="364" ht="22" customHeight="1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</row>
    <row r="365" ht="22" customHeight="1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</row>
    <row r="366" ht="22" customHeight="1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</row>
    <row r="367" ht="22" customHeight="1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</row>
    <row r="368" ht="22" customHeight="1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</row>
    <row r="369" ht="22" customHeight="1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</row>
    <row r="370" ht="22" customHeight="1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</row>
    <row r="371" ht="22" customHeight="1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</row>
    <row r="372" ht="22" customHeight="1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</row>
    <row r="373" ht="22" customHeight="1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</row>
    <row r="374" ht="22" customHeight="1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</row>
    <row r="375" ht="22" customHeight="1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</row>
    <row r="376" ht="22" customHeight="1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</row>
    <row r="377" ht="22" customHeight="1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</row>
    <row r="378" ht="22" customHeight="1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</row>
    <row r="379" ht="22" customHeight="1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</row>
    <row r="380" ht="22" customHeight="1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</row>
    <row r="381" ht="22" customHeight="1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</row>
    <row r="382" ht="22" customHeight="1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</row>
    <row r="383" ht="22" customHeight="1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</row>
    <row r="384" ht="22" customHeight="1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</row>
    <row r="385" ht="22" customHeight="1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</row>
    <row r="386" ht="22" customHeight="1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</row>
    <row r="387" ht="22" customHeight="1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</row>
    <row r="388" ht="22" customHeight="1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</row>
    <row r="389" ht="22" customHeight="1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</row>
    <row r="390" ht="22" customHeight="1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</row>
    <row r="391" ht="22" customHeight="1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</row>
    <row r="392" ht="22" customHeight="1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</row>
    <row r="393" ht="22" customHeight="1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</row>
    <row r="394" ht="22" customHeight="1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</row>
    <row r="395" ht="22" customHeight="1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</row>
    <row r="396" ht="22" customHeight="1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</row>
    <row r="397" ht="22" customHeight="1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</row>
    <row r="398" ht="22" customHeight="1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</row>
    <row r="399" ht="22" customHeight="1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</row>
    <row r="400" ht="22" customHeight="1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</row>
    <row r="401" ht="22" customHeight="1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</row>
    <row r="402" ht="22" customHeight="1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</row>
    <row r="403" ht="22" customHeight="1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</row>
    <row r="404" ht="22" customHeight="1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</row>
    <row r="405" ht="22" customHeight="1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</row>
    <row r="406" ht="22" customHeight="1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</row>
    <row r="407" ht="22" customHeight="1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</row>
    <row r="408" ht="22" customHeight="1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</row>
    <row r="409" ht="22" customHeight="1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</row>
    <row r="410" ht="22" customHeight="1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</row>
    <row r="411" ht="22" customHeight="1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</row>
    <row r="412" ht="22" customHeight="1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</row>
    <row r="413" ht="22" customHeight="1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</row>
    <row r="414" ht="22" customHeight="1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</row>
    <row r="415" ht="22" customHeight="1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</row>
    <row r="416" ht="22" customHeight="1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</row>
    <row r="417" ht="22" customHeight="1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</row>
    <row r="418" ht="22" customHeight="1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</row>
    <row r="419" ht="22" customHeight="1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</row>
    <row r="420" ht="22" customHeight="1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</row>
    <row r="421" ht="22" customHeight="1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</row>
    <row r="422" ht="22" customHeight="1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</row>
    <row r="423" ht="22" customHeight="1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</row>
    <row r="424" ht="22" customHeight="1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</row>
    <row r="425" ht="22" customHeight="1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</row>
    <row r="426" ht="22" customHeight="1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</row>
    <row r="427" ht="22" customHeight="1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</row>
    <row r="428" ht="22" customHeight="1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</row>
    <row r="429" ht="22" customHeight="1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</row>
    <row r="430" ht="22" customHeight="1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</row>
    <row r="431" ht="22" customHeight="1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</row>
    <row r="432" ht="22" customHeight="1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</row>
    <row r="433" ht="22" customHeight="1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</row>
    <row r="434" ht="22" customHeight="1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</row>
    <row r="435" ht="22" customHeight="1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</row>
    <row r="436" ht="22" customHeight="1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</row>
    <row r="437" ht="22" customHeight="1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</row>
    <row r="438" ht="22" customHeight="1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</row>
    <row r="439" ht="22" customHeight="1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</row>
    <row r="440" ht="22" customHeight="1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</row>
    <row r="441" ht="22" customHeight="1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</row>
    <row r="442" ht="22" customHeight="1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</row>
    <row r="443" ht="22" customHeight="1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</row>
    <row r="444" ht="22" customHeight="1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</row>
    <row r="445" ht="22" customHeight="1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</row>
    <row r="446" ht="22" customHeight="1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</row>
    <row r="447" ht="22" customHeight="1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</row>
    <row r="448" ht="22" customHeight="1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</row>
    <row r="449" ht="22" customHeight="1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</row>
    <row r="450" ht="22" customHeight="1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</row>
    <row r="451" ht="22" customHeight="1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</row>
    <row r="452" ht="22" customHeight="1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</row>
    <row r="453" ht="22" customHeight="1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</row>
    <row r="454" ht="22" customHeight="1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</row>
    <row r="455" ht="22" customHeight="1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</row>
    <row r="456" ht="22" customHeight="1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</row>
    <row r="457" ht="22" customHeight="1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</row>
    <row r="458" ht="22" customHeight="1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</row>
    <row r="459" ht="22" customHeight="1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</row>
    <row r="460" ht="22" customHeight="1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</row>
    <row r="461" ht="22" customHeight="1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</row>
    <row r="462" ht="22" customHeight="1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</row>
    <row r="463" ht="22" customHeight="1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</row>
    <row r="464" ht="22" customHeight="1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</row>
    <row r="465" ht="22" customHeight="1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</row>
    <row r="466" ht="22" customHeight="1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</row>
    <row r="467" ht="22" customHeight="1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</row>
    <row r="468" ht="22" customHeight="1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</row>
    <row r="469" ht="22" customHeight="1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</row>
    <row r="470" ht="22" customHeight="1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</row>
    <row r="471" ht="22" customHeight="1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</row>
    <row r="472" ht="22" customHeight="1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</row>
    <row r="473" ht="22" customHeight="1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</row>
    <row r="474" ht="22" customHeight="1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</row>
    <row r="475" ht="22" customHeight="1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</row>
    <row r="476" ht="22" customHeight="1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</row>
    <row r="477" ht="22" customHeight="1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</row>
    <row r="478" ht="22" customHeight="1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</row>
    <row r="479" ht="22" customHeight="1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</row>
    <row r="480" ht="22" customHeight="1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</row>
    <row r="481" ht="22" customHeight="1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</row>
    <row r="482" ht="22" customHeight="1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</row>
    <row r="483" ht="22" customHeight="1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</row>
    <row r="484" ht="22" customHeight="1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</row>
    <row r="485" ht="22" customHeight="1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</row>
    <row r="486" ht="22" customHeight="1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</row>
    <row r="487" ht="22" customHeight="1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</row>
    <row r="488" ht="22" customHeight="1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</row>
    <row r="489" ht="22" customHeight="1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</row>
    <row r="490" ht="22" customHeight="1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</row>
    <row r="491" ht="22" customHeight="1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</row>
    <row r="492" ht="22" customHeight="1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</row>
    <row r="493" ht="22" customHeight="1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</row>
    <row r="494" ht="22" customHeight="1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</row>
    <row r="495" ht="22" customHeight="1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</row>
    <row r="496" ht="22" customHeight="1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</row>
    <row r="497" ht="22" customHeight="1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</row>
    <row r="498" ht="22" customHeight="1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</row>
    <row r="499" ht="22" customHeight="1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</row>
    <row r="500" ht="22" customHeight="1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</row>
  </sheetData>
  <autoFilter ref="A1:O500"/>
  <dataValidations count="4">
    <dataValidation sqref="J2:J500" showDropDown="0" showInputMessage="0" showErrorMessage="0" allowBlank="1" errorTitle="Invalid Entry" error="Please select a value from the dropdown" promptTitle="Choose" prompt="Select from dropdown" type="list">
      <formula1>"Cold,Warm,Hot,Inactive"</formula1>
    </dataValidation>
    <dataValidation sqref="K2:K500" showDropDown="0" showInputMessage="0" showErrorMessage="0" allowBlank="1" errorTitle="Invalid Entry" error="Please select a value from the dropdown" promptTitle="Choose" prompt="Select from dropdown" type="list">
      <formula1>"1,2,3,4,5"</formula1>
    </dataValidation>
    <dataValidation sqref="L2:L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M2:M500" showDropDown="0" showInputMessage="0" showErrorMessage="0" allowBlank="1" errorTitle="Invalid Entry" error="Please select a value from the dropdown" promptTitle="Choose" prompt="Select from dropdown" type="list">
      <formula1>"None,Sent,Overdue,Completed"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B8A6"/>
    <outlinePr summaryBelow="1" summaryRight="1"/>
    <pageSetUpPr/>
  </sheetPr>
  <dimension ref="A1:S5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0" customWidth="1" min="4" max="4"/>
    <col width="12" customWidth="1" min="5" max="5"/>
    <col width="22" customWidth="1" min="6" max="6"/>
    <col width="22" customWidth="1" min="7" max="7"/>
    <col width="14" customWidth="1" min="8" max="8"/>
    <col width="10" customWidth="1" min="9" max="9"/>
    <col width="14" customWidth="1" min="10" max="10"/>
    <col width="10" customWidth="1" min="11" max="11"/>
    <col width="12" customWidth="1" min="12" max="12"/>
    <col width="20" customWidth="1" min="13" max="13"/>
    <col width="12" customWidth="1" min="14" max="14"/>
    <col width="14" customWidth="1" min="15" max="15"/>
    <col width="18" customWidth="1" min="16" max="16"/>
    <col width="10" customWidth="1" min="17" max="17"/>
    <col width="10" customWidth="1" min="18" max="18"/>
    <col width="30" customWidth="1" min="19" max="19"/>
  </cols>
  <sheetData>
    <row r="1" ht="28" customHeight="1">
      <c r="A1" s="45" t="inlineStr">
        <is>
          <t>Company</t>
        </is>
      </c>
      <c r="B1" s="45" t="inlineStr">
        <is>
          <t>Industry</t>
        </is>
      </c>
      <c r="C1" s="45" t="inlineStr">
        <is>
          <t>Location</t>
        </is>
      </c>
      <c r="D1" s="45" t="inlineStr">
        <is>
          <t>Remote</t>
        </is>
      </c>
      <c r="E1" s="45" t="inlineStr">
        <is>
          <t>Size</t>
        </is>
      </c>
      <c r="F1" s="45" t="inlineStr">
        <is>
          <t>Website</t>
        </is>
      </c>
      <c r="G1" s="45" t="inlineStr">
        <is>
          <t>Career Page</t>
        </is>
      </c>
      <c r="H1" s="45" t="inlineStr">
        <is>
          <t>Status</t>
        </is>
      </c>
      <c r="I1" s="45" t="inlineStr">
        <is>
          <t>Priority</t>
        </is>
      </c>
      <c r="J1" s="45" t="inlineStr">
        <is>
          <t>Hiring Status</t>
        </is>
      </c>
      <c r="K1" s="45" t="inlineStr">
        <is>
          <t>Visa Sponsor</t>
        </is>
      </c>
      <c r="L1" s="45" t="inlineStr">
        <is>
          <t>Remote Friendly</t>
        </is>
      </c>
      <c r="M1" s="45" t="inlineStr">
        <is>
          <t>Tech Stack</t>
        </is>
      </c>
      <c r="N1" s="45" t="inlineStr">
        <is>
          <t>Glassdoor Rating</t>
        </is>
      </c>
      <c r="O1" s="45" t="inlineStr">
        <is>
          <t>LinkedIn Followers</t>
        </is>
      </c>
      <c r="P1" s="45" t="inlineStr">
        <is>
          <t>Company Size Category</t>
        </is>
      </c>
      <c r="Q1" s="45" t="inlineStr">
        <is>
          <t>Dream Company</t>
        </is>
      </c>
      <c r="R1" s="45" t="inlineStr">
        <is>
          <t>Priority Score</t>
        </is>
      </c>
      <c r="S1" s="45" t="inlineStr">
        <is>
          <t>Notes</t>
        </is>
      </c>
    </row>
    <row r="2" ht="22" customHeight="1">
      <c r="A2" s="46" t="inlineStr">
        <is>
          <t>Tech Corp</t>
        </is>
      </c>
      <c r="B2" s="46" t="inlineStr">
        <is>
          <t>Software</t>
        </is>
      </c>
      <c r="C2" s="46" t="inlineStr">
        <is>
          <t>San Francisco, CA</t>
        </is>
      </c>
      <c r="D2" s="46" t="inlineStr">
        <is>
          <t>Yes</t>
        </is>
      </c>
      <c r="E2" s="46" t="inlineStr">
        <is>
          <t>1000+</t>
        </is>
      </c>
      <c r="F2" s="46" t="inlineStr">
        <is>
          <t>techcorp.com</t>
        </is>
      </c>
      <c r="G2" s="46" t="inlineStr">
        <is>
          <t>Researching</t>
        </is>
      </c>
      <c r="H2" s="46" t="inlineStr">
        <is>
          <t>Researching</t>
        </is>
      </c>
      <c r="I2" s="46" t="inlineStr">
        <is>
          <t>High</t>
        </is>
      </c>
      <c r="J2" s="46" t="n"/>
      <c r="K2" s="46" t="n"/>
      <c r="L2" s="46" t="n"/>
      <c r="M2" s="46" t="n"/>
      <c r="N2" s="46" t="n"/>
      <c r="O2" s="46" t="n"/>
      <c r="P2" s="46" t="n"/>
      <c r="Q2" s="46" t="n"/>
      <c r="R2" s="46">
        <f>IF(A2="","",IF(Q2="Yes",5,0)+IF(I2="Critical",4,IF(I2="High",3,IF(I2="Medium",2,IF(I2="Low",1,0)))))</f>
        <v/>
      </c>
      <c r="S2" s="46" t="n"/>
    </row>
    <row r="3" ht="22" customHeigh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>
        <f>IF(A3="","",IF(Q3="Yes",5,0)+IF(I3="Critical",4,IF(I3="High",3,IF(I3="Medium",2,IF(I3="Low",1,0)))))</f>
        <v/>
      </c>
      <c r="S3" s="48" t="n"/>
    </row>
    <row r="4" ht="2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>
        <f>IF(A4="","",IF(Q4="Yes",5,0)+IF(I4="Critical",4,IF(I4="High",3,IF(I4="Medium",2,IF(I4="Low",1,0)))))</f>
        <v/>
      </c>
      <c r="S4" s="46" t="n"/>
    </row>
    <row r="5" ht="22" customHeight="1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>
        <f>IF(A5="","",IF(Q5="Yes",5,0)+IF(I5="Critical",4,IF(I5="High",3,IF(I5="Medium",2,IF(I5="Low",1,0)))))</f>
        <v/>
      </c>
      <c r="S5" s="48" t="n"/>
    </row>
    <row r="6" ht="22" customHeight="1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>
        <f>IF(A6="","",IF(Q6="Yes",5,0)+IF(I6="Critical",4,IF(I6="High",3,IF(I6="Medium",2,IF(I6="Low",1,0)))))</f>
        <v/>
      </c>
      <c r="S6" s="46" t="n"/>
    </row>
    <row r="7" ht="22" customHeight="1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>
        <f>IF(A7="","",IF(Q7="Yes",5,0)+IF(I7="Critical",4,IF(I7="High",3,IF(I7="Medium",2,IF(I7="Low",1,0)))))</f>
        <v/>
      </c>
      <c r="S7" s="48" t="n"/>
    </row>
    <row r="8" ht="22" customHeight="1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>
        <f>IF(A8="","",IF(Q8="Yes",5,0)+IF(I8="Critical",4,IF(I8="High",3,IF(I8="Medium",2,IF(I8="Low",1,0)))))</f>
        <v/>
      </c>
      <c r="S8" s="46" t="n"/>
    </row>
    <row r="9" ht="22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>
        <f>IF(A9="","",IF(Q9="Yes",5,0)+IF(I9="Critical",4,IF(I9="High",3,IF(I9="Medium",2,IF(I9="Low",1,0)))))</f>
        <v/>
      </c>
      <c r="S9" s="48" t="n"/>
    </row>
    <row r="10" ht="22" customHeight="1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>
        <f>IF(A10="","",IF(Q10="Yes",5,0)+IF(I10="Critical",4,IF(I10="High",3,IF(I10="Medium",2,IF(I10="Low",1,0)))))</f>
        <v/>
      </c>
      <c r="S10" s="46" t="n"/>
    </row>
    <row r="11" ht="22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>
        <f>IF(A11="","",IF(Q11="Yes",5,0)+IF(I11="Critical",4,IF(I11="High",3,IF(I11="Medium",2,IF(I11="Low",1,0)))))</f>
        <v/>
      </c>
      <c r="S11" s="48" t="n"/>
    </row>
    <row r="12" ht="22" customHeight="1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>
        <f>IF(A12="","",IF(Q12="Yes",5,0)+IF(I12="Critical",4,IF(I12="High",3,IF(I12="Medium",2,IF(I12="Low",1,0)))))</f>
        <v/>
      </c>
      <c r="S12" s="46" t="n"/>
    </row>
    <row r="13" ht="22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>
        <f>IF(A13="","",IF(Q13="Yes",5,0)+IF(I13="Critical",4,IF(I13="High",3,IF(I13="Medium",2,IF(I13="Low",1,0)))))</f>
        <v/>
      </c>
      <c r="S13" s="48" t="n"/>
    </row>
    <row r="14" ht="22" customHeight="1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>
        <f>IF(A14="","",IF(Q14="Yes",5,0)+IF(I14="Critical",4,IF(I14="High",3,IF(I14="Medium",2,IF(I14="Low",1,0)))))</f>
        <v/>
      </c>
      <c r="S14" s="46" t="n"/>
    </row>
    <row r="15" ht="22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>
        <f>IF(A15="","",IF(Q15="Yes",5,0)+IF(I15="Critical",4,IF(I15="High",3,IF(I15="Medium",2,IF(I15="Low",1,0)))))</f>
        <v/>
      </c>
      <c r="S15" s="48" t="n"/>
    </row>
    <row r="16" ht="22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>
        <f>IF(A16="","",IF(Q16="Yes",5,0)+IF(I16="Critical",4,IF(I16="High",3,IF(I16="Medium",2,IF(I16="Low",1,0)))))</f>
        <v/>
      </c>
      <c r="S16" s="46" t="n"/>
    </row>
    <row r="17" ht="22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>
        <f>IF(A17="","",IF(Q17="Yes",5,0)+IF(I17="Critical",4,IF(I17="High",3,IF(I17="Medium",2,IF(I17="Low",1,0)))))</f>
        <v/>
      </c>
      <c r="S17" s="48" t="n"/>
    </row>
    <row r="18" ht="22" customHeight="1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>
        <f>IF(A18="","",IF(Q18="Yes",5,0)+IF(I18="Critical",4,IF(I18="High",3,IF(I18="Medium",2,IF(I18="Low",1,0)))))</f>
        <v/>
      </c>
      <c r="S18" s="46" t="n"/>
    </row>
    <row r="19" ht="22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>
        <f>IF(A19="","",IF(Q19="Yes",5,0)+IF(I19="Critical",4,IF(I19="High",3,IF(I19="Medium",2,IF(I19="Low",1,0)))))</f>
        <v/>
      </c>
      <c r="S19" s="48" t="n"/>
    </row>
    <row r="20" ht="22" customHeight="1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>
        <f>IF(A20="","",IF(Q20="Yes",5,0)+IF(I20="Critical",4,IF(I20="High",3,IF(I20="Medium",2,IF(I20="Low",1,0)))))</f>
        <v/>
      </c>
      <c r="S20" s="46" t="n"/>
    </row>
    <row r="21" ht="22" customHeight="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>
        <f>IF(A21="","",IF(Q21="Yes",5,0)+IF(I21="Critical",4,IF(I21="High",3,IF(I21="Medium",2,IF(I21="Low",1,0)))))</f>
        <v/>
      </c>
      <c r="S21" s="48" t="n"/>
    </row>
    <row r="22" ht="22" customHeight="1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>
        <f>IF(A22="","",IF(Q22="Yes",5,0)+IF(I22="Critical",4,IF(I22="High",3,IF(I22="Medium",2,IF(I22="Low",1,0)))))</f>
        <v/>
      </c>
      <c r="S22" s="46" t="n"/>
    </row>
    <row r="23" ht="22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>
        <f>IF(A23="","",IF(Q23="Yes",5,0)+IF(I23="Critical",4,IF(I23="High",3,IF(I23="Medium",2,IF(I23="Low",1,0)))))</f>
        <v/>
      </c>
      <c r="S23" s="48" t="n"/>
    </row>
    <row r="24" ht="22" customHeight="1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>
        <f>IF(A24="","",IF(Q24="Yes",5,0)+IF(I24="Critical",4,IF(I24="High",3,IF(I24="Medium",2,IF(I24="Low",1,0)))))</f>
        <v/>
      </c>
      <c r="S24" s="46" t="n"/>
    </row>
    <row r="25" ht="22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>
        <f>IF(A25="","",IF(Q25="Yes",5,0)+IF(I25="Critical",4,IF(I25="High",3,IF(I25="Medium",2,IF(I25="Low",1,0)))))</f>
        <v/>
      </c>
      <c r="S25" s="48" t="n"/>
    </row>
    <row r="26" ht="22" customHeight="1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>
        <f>IF(A26="","",IF(Q26="Yes",5,0)+IF(I26="Critical",4,IF(I26="High",3,IF(I26="Medium",2,IF(I26="Low",1,0)))))</f>
        <v/>
      </c>
      <c r="S26" s="46" t="n"/>
    </row>
    <row r="27" ht="22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>
        <f>IF(A27="","",IF(Q27="Yes",5,0)+IF(I27="Critical",4,IF(I27="High",3,IF(I27="Medium",2,IF(I27="Low",1,0)))))</f>
        <v/>
      </c>
      <c r="S27" s="48" t="n"/>
    </row>
    <row r="28" ht="22" customHeight="1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>
        <f>IF(A28="","",IF(Q28="Yes",5,0)+IF(I28="Critical",4,IF(I28="High",3,IF(I28="Medium",2,IF(I28="Low",1,0)))))</f>
        <v/>
      </c>
      <c r="S28" s="46" t="n"/>
    </row>
    <row r="29" ht="22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>
        <f>IF(A29="","",IF(Q29="Yes",5,0)+IF(I29="Critical",4,IF(I29="High",3,IF(I29="Medium",2,IF(I29="Low",1,0)))))</f>
        <v/>
      </c>
      <c r="S29" s="48" t="n"/>
    </row>
    <row r="30" ht="22" customHeight="1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>
        <f>IF(A30="","",IF(Q30="Yes",5,0)+IF(I30="Critical",4,IF(I30="High",3,IF(I30="Medium",2,IF(I30="Low",1,0)))))</f>
        <v/>
      </c>
      <c r="S30" s="46" t="n"/>
    </row>
    <row r="31" ht="22" customHeight="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>
        <f>IF(A31="","",IF(Q31="Yes",5,0)+IF(I31="Critical",4,IF(I31="High",3,IF(I31="Medium",2,IF(I31="Low",1,0)))))</f>
        <v/>
      </c>
      <c r="S31" s="48" t="n"/>
    </row>
    <row r="32" ht="22" customHeight="1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>
        <f>IF(A32="","",IF(Q32="Yes",5,0)+IF(I32="Critical",4,IF(I32="High",3,IF(I32="Medium",2,IF(I32="Low",1,0)))))</f>
        <v/>
      </c>
      <c r="S32" s="46" t="n"/>
    </row>
    <row r="33" ht="22" customHeight="1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>
        <f>IF(A33="","",IF(Q33="Yes",5,0)+IF(I33="Critical",4,IF(I33="High",3,IF(I33="Medium",2,IF(I33="Low",1,0)))))</f>
        <v/>
      </c>
      <c r="S33" s="48" t="n"/>
    </row>
    <row r="34" ht="22" customHeight="1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>
        <f>IF(A34="","",IF(Q34="Yes",5,0)+IF(I34="Critical",4,IF(I34="High",3,IF(I34="Medium",2,IF(I34="Low",1,0)))))</f>
        <v/>
      </c>
      <c r="S34" s="46" t="n"/>
    </row>
    <row r="35" ht="22" customHeight="1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>
        <f>IF(A35="","",IF(Q35="Yes",5,0)+IF(I35="Critical",4,IF(I35="High",3,IF(I35="Medium",2,IF(I35="Low",1,0)))))</f>
        <v/>
      </c>
      <c r="S35" s="48" t="n"/>
    </row>
    <row r="36" ht="22" customHeight="1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>
        <f>IF(A36="","",IF(Q36="Yes",5,0)+IF(I36="Critical",4,IF(I36="High",3,IF(I36="Medium",2,IF(I36="Low",1,0)))))</f>
        <v/>
      </c>
      <c r="S36" s="46" t="n"/>
    </row>
    <row r="37" ht="22" customHeight="1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>
        <f>IF(A37="","",IF(Q37="Yes",5,0)+IF(I37="Critical",4,IF(I37="High",3,IF(I37="Medium",2,IF(I37="Low",1,0)))))</f>
        <v/>
      </c>
      <c r="S37" s="48" t="n"/>
    </row>
    <row r="38" ht="22" customHeight="1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>
        <f>IF(A38="","",IF(Q38="Yes",5,0)+IF(I38="Critical",4,IF(I38="High",3,IF(I38="Medium",2,IF(I38="Low",1,0)))))</f>
        <v/>
      </c>
      <c r="S38" s="46" t="n"/>
    </row>
    <row r="39" ht="22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>
        <f>IF(A39="","",IF(Q39="Yes",5,0)+IF(I39="Critical",4,IF(I39="High",3,IF(I39="Medium",2,IF(I39="Low",1,0)))))</f>
        <v/>
      </c>
      <c r="S39" s="48" t="n"/>
    </row>
    <row r="40" ht="22" customHeight="1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>
        <f>IF(A40="","",IF(Q40="Yes",5,0)+IF(I40="Critical",4,IF(I40="High",3,IF(I40="Medium",2,IF(I40="Low",1,0)))))</f>
        <v/>
      </c>
      <c r="S40" s="46" t="n"/>
    </row>
    <row r="41" ht="22" customHeight="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>
        <f>IF(A41="","",IF(Q41="Yes",5,0)+IF(I41="Critical",4,IF(I41="High",3,IF(I41="Medium",2,IF(I41="Low",1,0)))))</f>
        <v/>
      </c>
      <c r="S41" s="48" t="n"/>
    </row>
    <row r="42" ht="22" customHeight="1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>
        <f>IF(A42="","",IF(Q42="Yes",5,0)+IF(I42="Critical",4,IF(I42="High",3,IF(I42="Medium",2,IF(I42="Low",1,0)))))</f>
        <v/>
      </c>
      <c r="S42" s="46" t="n"/>
    </row>
    <row r="43" ht="22" customHeight="1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>
        <f>IF(A43="","",IF(Q43="Yes",5,0)+IF(I43="Critical",4,IF(I43="High",3,IF(I43="Medium",2,IF(I43="Low",1,0)))))</f>
        <v/>
      </c>
      <c r="S43" s="48" t="n"/>
    </row>
    <row r="44" ht="22" customHeight="1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>
        <f>IF(A44="","",IF(Q44="Yes",5,0)+IF(I44="Critical",4,IF(I44="High",3,IF(I44="Medium",2,IF(I44="Low",1,0)))))</f>
        <v/>
      </c>
      <c r="S44" s="46" t="n"/>
    </row>
    <row r="45" ht="22" customHeight="1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>
        <f>IF(A45="","",IF(Q45="Yes",5,0)+IF(I45="Critical",4,IF(I45="High",3,IF(I45="Medium",2,IF(I45="Low",1,0)))))</f>
        <v/>
      </c>
      <c r="S45" s="48" t="n"/>
    </row>
    <row r="46" ht="22" customHeight="1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>
        <f>IF(A46="","",IF(Q46="Yes",5,0)+IF(I46="Critical",4,IF(I46="High",3,IF(I46="Medium",2,IF(I46="Low",1,0)))))</f>
        <v/>
      </c>
      <c r="S46" s="46" t="n"/>
    </row>
    <row r="47" ht="22" customHeight="1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>
        <f>IF(A47="","",IF(Q47="Yes",5,0)+IF(I47="Critical",4,IF(I47="High",3,IF(I47="Medium",2,IF(I47="Low",1,0)))))</f>
        <v/>
      </c>
      <c r="S47" s="48" t="n"/>
    </row>
    <row r="48" ht="22" customHeight="1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>
        <f>IF(A48="","",IF(Q48="Yes",5,0)+IF(I48="Critical",4,IF(I48="High",3,IF(I48="Medium",2,IF(I48="Low",1,0)))))</f>
        <v/>
      </c>
      <c r="S48" s="46" t="n"/>
    </row>
    <row r="49" ht="22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>
        <f>IF(A49="","",IF(Q49="Yes",5,0)+IF(I49="Critical",4,IF(I49="High",3,IF(I49="Medium",2,IF(I49="Low",1,0)))))</f>
        <v/>
      </c>
      <c r="S49" s="48" t="n"/>
    </row>
    <row r="50" ht="22" customHeight="1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>
        <f>IF(A50="","",IF(Q50="Yes",5,0)+IF(I50="Critical",4,IF(I50="High",3,IF(I50="Medium",2,IF(I50="Low",1,0)))))</f>
        <v/>
      </c>
      <c r="S50" s="46" t="n"/>
    </row>
    <row r="51" ht="22" customHeight="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>
        <f>IF(A51="","",IF(Q51="Yes",5,0)+IF(I51="Critical",4,IF(I51="High",3,IF(I51="Medium",2,IF(I51="Low",1,0)))))</f>
        <v/>
      </c>
      <c r="S51" s="48" t="n"/>
    </row>
    <row r="52" ht="22" customHeight="1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>
        <f>IF(A52="","",IF(Q52="Yes",5,0)+IF(I52="Critical",4,IF(I52="High",3,IF(I52="Medium",2,IF(I52="Low",1,0)))))</f>
        <v/>
      </c>
      <c r="S52" s="46" t="n"/>
    </row>
    <row r="53" ht="22" customHeight="1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>
        <f>IF(A53="","",IF(Q53="Yes",5,0)+IF(I53="Critical",4,IF(I53="High",3,IF(I53="Medium",2,IF(I53="Low",1,0)))))</f>
        <v/>
      </c>
      <c r="S53" s="48" t="n"/>
    </row>
    <row r="54" ht="22" customHeight="1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>
        <f>IF(A54="","",IF(Q54="Yes",5,0)+IF(I54="Critical",4,IF(I54="High",3,IF(I54="Medium",2,IF(I54="Low",1,0)))))</f>
        <v/>
      </c>
      <c r="S54" s="46" t="n"/>
    </row>
    <row r="55" ht="22" customHeight="1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>
        <f>IF(A55="","",IF(Q55="Yes",5,0)+IF(I55="Critical",4,IF(I55="High",3,IF(I55="Medium",2,IF(I55="Low",1,0)))))</f>
        <v/>
      </c>
      <c r="S55" s="48" t="n"/>
    </row>
    <row r="56" ht="22" customHeight="1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>
        <f>IF(A56="","",IF(Q56="Yes",5,0)+IF(I56="Critical",4,IF(I56="High",3,IF(I56="Medium",2,IF(I56="Low",1,0)))))</f>
        <v/>
      </c>
      <c r="S56" s="46" t="n"/>
    </row>
    <row r="57" ht="22" customHeight="1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>
        <f>IF(A57="","",IF(Q57="Yes",5,0)+IF(I57="Critical",4,IF(I57="High",3,IF(I57="Medium",2,IF(I57="Low",1,0)))))</f>
        <v/>
      </c>
      <c r="S57" s="48" t="n"/>
    </row>
    <row r="58" ht="22" customHeight="1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>
        <f>IF(A58="","",IF(Q58="Yes",5,0)+IF(I58="Critical",4,IF(I58="High",3,IF(I58="Medium",2,IF(I58="Low",1,0)))))</f>
        <v/>
      </c>
      <c r="S58" s="46" t="n"/>
    </row>
    <row r="59" ht="22" customHeight="1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>
        <f>IF(A59="","",IF(Q59="Yes",5,0)+IF(I59="Critical",4,IF(I59="High",3,IF(I59="Medium",2,IF(I59="Low",1,0)))))</f>
        <v/>
      </c>
      <c r="S59" s="48" t="n"/>
    </row>
    <row r="60" ht="22" customHeight="1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>
        <f>IF(A60="","",IF(Q60="Yes",5,0)+IF(I60="Critical",4,IF(I60="High",3,IF(I60="Medium",2,IF(I60="Low",1,0)))))</f>
        <v/>
      </c>
      <c r="S60" s="46" t="n"/>
    </row>
    <row r="61" ht="22" customHeight="1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>
        <f>IF(A61="","",IF(Q61="Yes",5,0)+IF(I61="Critical",4,IF(I61="High",3,IF(I61="Medium",2,IF(I61="Low",1,0)))))</f>
        <v/>
      </c>
      <c r="S61" s="48" t="n"/>
    </row>
    <row r="62" ht="22" customHeight="1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>
        <f>IF(A62="","",IF(Q62="Yes",5,0)+IF(I62="Critical",4,IF(I62="High",3,IF(I62="Medium",2,IF(I62="Low",1,0)))))</f>
        <v/>
      </c>
      <c r="S62" s="46" t="n"/>
    </row>
    <row r="63" ht="22" customHeight="1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>
        <f>IF(A63="","",IF(Q63="Yes",5,0)+IF(I63="Critical",4,IF(I63="High",3,IF(I63="Medium",2,IF(I63="Low",1,0)))))</f>
        <v/>
      </c>
      <c r="S63" s="48" t="n"/>
    </row>
    <row r="64" ht="22" customHeight="1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>
        <f>IF(A64="","",IF(Q64="Yes",5,0)+IF(I64="Critical",4,IF(I64="High",3,IF(I64="Medium",2,IF(I64="Low",1,0)))))</f>
        <v/>
      </c>
      <c r="S64" s="46" t="n"/>
    </row>
    <row r="65" ht="22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>
        <f>IF(A65="","",IF(Q65="Yes",5,0)+IF(I65="Critical",4,IF(I65="High",3,IF(I65="Medium",2,IF(I65="Low",1,0)))))</f>
        <v/>
      </c>
      <c r="S65" s="48" t="n"/>
    </row>
    <row r="66" ht="22" customHeight="1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>
        <f>IF(A66="","",IF(Q66="Yes",5,0)+IF(I66="Critical",4,IF(I66="High",3,IF(I66="Medium",2,IF(I66="Low",1,0)))))</f>
        <v/>
      </c>
      <c r="S66" s="46" t="n"/>
    </row>
    <row r="67" ht="22" customHeight="1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>
        <f>IF(A67="","",IF(Q67="Yes",5,0)+IF(I67="Critical",4,IF(I67="High",3,IF(I67="Medium",2,IF(I67="Low",1,0)))))</f>
        <v/>
      </c>
      <c r="S67" s="48" t="n"/>
    </row>
    <row r="68" ht="22" customHeight="1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>
        <f>IF(A68="","",IF(Q68="Yes",5,0)+IF(I68="Critical",4,IF(I68="High",3,IF(I68="Medium",2,IF(I68="Low",1,0)))))</f>
        <v/>
      </c>
      <c r="S68" s="46" t="n"/>
    </row>
    <row r="69" ht="22" customHeight="1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>
        <f>IF(A69="","",IF(Q69="Yes",5,0)+IF(I69="Critical",4,IF(I69="High",3,IF(I69="Medium",2,IF(I69="Low",1,0)))))</f>
        <v/>
      </c>
      <c r="S69" s="48" t="n"/>
    </row>
    <row r="70" ht="22" customHeight="1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>
        <f>IF(A70="","",IF(Q70="Yes",5,0)+IF(I70="Critical",4,IF(I70="High",3,IF(I70="Medium",2,IF(I70="Low",1,0)))))</f>
        <v/>
      </c>
      <c r="S70" s="46" t="n"/>
    </row>
    <row r="71" ht="22" customHeight="1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>
        <f>IF(A71="","",IF(Q71="Yes",5,0)+IF(I71="Critical",4,IF(I71="High",3,IF(I71="Medium",2,IF(I71="Low",1,0)))))</f>
        <v/>
      </c>
      <c r="S71" s="48" t="n"/>
    </row>
    <row r="72" ht="22" customHeight="1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>
        <f>IF(A72="","",IF(Q72="Yes",5,0)+IF(I72="Critical",4,IF(I72="High",3,IF(I72="Medium",2,IF(I72="Low",1,0)))))</f>
        <v/>
      </c>
      <c r="S72" s="46" t="n"/>
    </row>
    <row r="73" ht="22" customHeight="1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>
        <f>IF(A73="","",IF(Q73="Yes",5,0)+IF(I73="Critical",4,IF(I73="High",3,IF(I73="Medium",2,IF(I73="Low",1,0)))))</f>
        <v/>
      </c>
      <c r="S73" s="48" t="n"/>
    </row>
    <row r="74" ht="22" customHeight="1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>
        <f>IF(A74="","",IF(Q74="Yes",5,0)+IF(I74="Critical",4,IF(I74="High",3,IF(I74="Medium",2,IF(I74="Low",1,0)))))</f>
        <v/>
      </c>
      <c r="S74" s="46" t="n"/>
    </row>
    <row r="75" ht="22" customHeight="1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>
        <f>IF(A75="","",IF(Q75="Yes",5,0)+IF(I75="Critical",4,IF(I75="High",3,IF(I75="Medium",2,IF(I75="Low",1,0)))))</f>
        <v/>
      </c>
      <c r="S75" s="48" t="n"/>
    </row>
    <row r="76" ht="22" customHeight="1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>
        <f>IF(A76="","",IF(Q76="Yes",5,0)+IF(I76="Critical",4,IF(I76="High",3,IF(I76="Medium",2,IF(I76="Low",1,0)))))</f>
        <v/>
      </c>
      <c r="S76" s="46" t="n"/>
    </row>
    <row r="77" ht="22" customHeight="1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>
        <f>IF(A77="","",IF(Q77="Yes",5,0)+IF(I77="Critical",4,IF(I77="High",3,IF(I77="Medium",2,IF(I77="Low",1,0)))))</f>
        <v/>
      </c>
      <c r="S77" s="48" t="n"/>
    </row>
    <row r="78" ht="22" customHeight="1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>
        <f>IF(A78="","",IF(Q78="Yes",5,0)+IF(I78="Critical",4,IF(I78="High",3,IF(I78="Medium",2,IF(I78="Low",1,0)))))</f>
        <v/>
      </c>
      <c r="S78" s="46" t="n"/>
    </row>
    <row r="79" ht="22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>
        <f>IF(A79="","",IF(Q79="Yes",5,0)+IF(I79="Critical",4,IF(I79="High",3,IF(I79="Medium",2,IF(I79="Low",1,0)))))</f>
        <v/>
      </c>
      <c r="S79" s="48" t="n"/>
    </row>
    <row r="80" ht="22" customHeight="1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>
        <f>IF(A80="","",IF(Q80="Yes",5,0)+IF(I80="Critical",4,IF(I80="High",3,IF(I80="Medium",2,IF(I80="Low",1,0)))))</f>
        <v/>
      </c>
      <c r="S80" s="46" t="n"/>
    </row>
    <row r="81" ht="22" customHeight="1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>
        <f>IF(A81="","",IF(Q81="Yes",5,0)+IF(I81="Critical",4,IF(I81="High",3,IF(I81="Medium",2,IF(I81="Low",1,0)))))</f>
        <v/>
      </c>
      <c r="S81" s="48" t="n"/>
    </row>
    <row r="82" ht="22" customHeight="1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>
        <f>IF(A82="","",IF(Q82="Yes",5,0)+IF(I82="Critical",4,IF(I82="High",3,IF(I82="Medium",2,IF(I82="Low",1,0)))))</f>
        <v/>
      </c>
      <c r="S82" s="46" t="n"/>
    </row>
    <row r="83" ht="22" customHeight="1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>
        <f>IF(A83="","",IF(Q83="Yes",5,0)+IF(I83="Critical",4,IF(I83="High",3,IF(I83="Medium",2,IF(I83="Low",1,0)))))</f>
        <v/>
      </c>
      <c r="S83" s="48" t="n"/>
    </row>
    <row r="84" ht="22" customHeight="1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>
        <f>IF(A84="","",IF(Q84="Yes",5,0)+IF(I84="Critical",4,IF(I84="High",3,IF(I84="Medium",2,IF(I84="Low",1,0)))))</f>
        <v/>
      </c>
      <c r="S84" s="46" t="n"/>
    </row>
    <row r="85" ht="22" customHeight="1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>
        <f>IF(A85="","",IF(Q85="Yes",5,0)+IF(I85="Critical",4,IF(I85="High",3,IF(I85="Medium",2,IF(I85="Low",1,0)))))</f>
        <v/>
      </c>
      <c r="S85" s="48" t="n"/>
    </row>
    <row r="86" ht="22" customHeight="1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>
        <f>IF(A86="","",IF(Q86="Yes",5,0)+IF(I86="Critical",4,IF(I86="High",3,IF(I86="Medium",2,IF(I86="Low",1,0)))))</f>
        <v/>
      </c>
      <c r="S86" s="46" t="n"/>
    </row>
    <row r="87" ht="22" customHeight="1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>
        <f>IF(A87="","",IF(Q87="Yes",5,0)+IF(I87="Critical",4,IF(I87="High",3,IF(I87="Medium",2,IF(I87="Low",1,0)))))</f>
        <v/>
      </c>
      <c r="S87" s="48" t="n"/>
    </row>
    <row r="88" ht="22" customHeight="1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>
        <f>IF(A88="","",IF(Q88="Yes",5,0)+IF(I88="Critical",4,IF(I88="High",3,IF(I88="Medium",2,IF(I88="Low",1,0)))))</f>
        <v/>
      </c>
      <c r="S88" s="46" t="n"/>
    </row>
    <row r="89" ht="22" customHeight="1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>
        <f>IF(A89="","",IF(Q89="Yes",5,0)+IF(I89="Critical",4,IF(I89="High",3,IF(I89="Medium",2,IF(I89="Low",1,0)))))</f>
        <v/>
      </c>
      <c r="S89" s="48" t="n"/>
    </row>
    <row r="90" ht="22" customHeight="1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>
        <f>IF(A90="","",IF(Q90="Yes",5,0)+IF(I90="Critical",4,IF(I90="High",3,IF(I90="Medium",2,IF(I90="Low",1,0)))))</f>
        <v/>
      </c>
      <c r="S90" s="46" t="n"/>
    </row>
    <row r="91" ht="22" customHeight="1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>
        <f>IF(A91="","",IF(Q91="Yes",5,0)+IF(I91="Critical",4,IF(I91="High",3,IF(I91="Medium",2,IF(I91="Low",1,0)))))</f>
        <v/>
      </c>
      <c r="S91" s="48" t="n"/>
    </row>
    <row r="92" ht="22" customHeight="1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>
        <f>IF(A92="","",IF(Q92="Yes",5,0)+IF(I92="Critical",4,IF(I92="High",3,IF(I92="Medium",2,IF(I92="Low",1,0)))))</f>
        <v/>
      </c>
      <c r="S92" s="46" t="n"/>
    </row>
    <row r="93" ht="22" customHeight="1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>
        <f>IF(A93="","",IF(Q93="Yes",5,0)+IF(I93="Critical",4,IF(I93="High",3,IF(I93="Medium",2,IF(I93="Low",1,0)))))</f>
        <v/>
      </c>
      <c r="S93" s="48" t="n"/>
    </row>
    <row r="94" ht="22" customHeight="1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>
        <f>IF(A94="","",IF(Q94="Yes",5,0)+IF(I94="Critical",4,IF(I94="High",3,IF(I94="Medium",2,IF(I94="Low",1,0)))))</f>
        <v/>
      </c>
      <c r="S94" s="46" t="n"/>
    </row>
    <row r="95" ht="22" customHeight="1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>
        <f>IF(A95="","",IF(Q95="Yes",5,0)+IF(I95="Critical",4,IF(I95="High",3,IF(I95="Medium",2,IF(I95="Low",1,0)))))</f>
        <v/>
      </c>
      <c r="S95" s="48" t="n"/>
    </row>
    <row r="96" ht="22" customHeight="1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>
        <f>IF(A96="","",IF(Q96="Yes",5,0)+IF(I96="Critical",4,IF(I96="High",3,IF(I96="Medium",2,IF(I96="Low",1,0)))))</f>
        <v/>
      </c>
      <c r="S96" s="46" t="n"/>
    </row>
    <row r="97" ht="22" customHeight="1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>
        <f>IF(A97="","",IF(Q97="Yes",5,0)+IF(I97="Critical",4,IF(I97="High",3,IF(I97="Medium",2,IF(I97="Low",1,0)))))</f>
        <v/>
      </c>
      <c r="S97" s="48" t="n"/>
    </row>
    <row r="98" ht="22" customHeight="1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>
        <f>IF(A98="","",IF(Q98="Yes",5,0)+IF(I98="Critical",4,IF(I98="High",3,IF(I98="Medium",2,IF(I98="Low",1,0)))))</f>
        <v/>
      </c>
      <c r="S98" s="46" t="n"/>
    </row>
    <row r="99" ht="22" customHeight="1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>
        <f>IF(A99="","",IF(Q99="Yes",5,0)+IF(I99="Critical",4,IF(I99="High",3,IF(I99="Medium",2,IF(I99="Low",1,0)))))</f>
        <v/>
      </c>
      <c r="S99" s="48" t="n"/>
    </row>
    <row r="100" ht="22" customHeight="1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>
        <f>IF(A100="","",IF(Q100="Yes",5,0)+IF(I100="Critical",4,IF(I100="High",3,IF(I100="Medium",2,IF(I100="Low",1,0)))))</f>
        <v/>
      </c>
      <c r="S100" s="46" t="n"/>
    </row>
    <row r="101" ht="22" customHeight="1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>
        <f>IF(A101="","",IF(Q101="Yes",5,0)+IF(I101="Critical",4,IF(I101="High",3,IF(I101="Medium",2,IF(I101="Low",1,0)))))</f>
        <v/>
      </c>
      <c r="S101" s="48" t="n"/>
    </row>
    <row r="102" ht="22" customHeight="1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>
        <f>IF(A102="","",IF(Q102="Yes",5,0)+IF(I102="Critical",4,IF(I102="High",3,IF(I102="Medium",2,IF(I102="Low",1,0)))))</f>
        <v/>
      </c>
      <c r="S102" s="46" t="n"/>
    </row>
    <row r="103" ht="22" customHeight="1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>
        <f>IF(A103="","",IF(Q103="Yes",5,0)+IF(I103="Critical",4,IF(I103="High",3,IF(I103="Medium",2,IF(I103="Low",1,0)))))</f>
        <v/>
      </c>
      <c r="S103" s="48" t="n"/>
    </row>
    <row r="104" ht="22" customHeight="1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>
        <f>IF(A104="","",IF(Q104="Yes",5,0)+IF(I104="Critical",4,IF(I104="High",3,IF(I104="Medium",2,IF(I104="Low",1,0)))))</f>
        <v/>
      </c>
      <c r="S104" s="46" t="n"/>
    </row>
    <row r="105" ht="22" customHeight="1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>
        <f>IF(A105="","",IF(Q105="Yes",5,0)+IF(I105="Critical",4,IF(I105="High",3,IF(I105="Medium",2,IF(I105="Low",1,0)))))</f>
        <v/>
      </c>
      <c r="S105" s="48" t="n"/>
    </row>
    <row r="106" ht="22" customHeight="1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>
        <f>IF(A106="","",IF(Q106="Yes",5,0)+IF(I106="Critical",4,IF(I106="High",3,IF(I106="Medium",2,IF(I106="Low",1,0)))))</f>
        <v/>
      </c>
      <c r="S106" s="46" t="n"/>
    </row>
    <row r="107" ht="22" customHeight="1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>
        <f>IF(A107="","",IF(Q107="Yes",5,0)+IF(I107="Critical",4,IF(I107="High",3,IF(I107="Medium",2,IF(I107="Low",1,0)))))</f>
        <v/>
      </c>
      <c r="S107" s="48" t="n"/>
    </row>
    <row r="108" ht="22" customHeight="1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>
        <f>IF(A108="","",IF(Q108="Yes",5,0)+IF(I108="Critical",4,IF(I108="High",3,IF(I108="Medium",2,IF(I108="Low",1,0)))))</f>
        <v/>
      </c>
      <c r="S108" s="46" t="n"/>
    </row>
    <row r="109" ht="22" customHeight="1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>
        <f>IF(A109="","",IF(Q109="Yes",5,0)+IF(I109="Critical",4,IF(I109="High",3,IF(I109="Medium",2,IF(I109="Low",1,0)))))</f>
        <v/>
      </c>
      <c r="S109" s="48" t="n"/>
    </row>
    <row r="110" ht="22" customHeight="1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>
        <f>IF(A110="","",IF(Q110="Yes",5,0)+IF(I110="Critical",4,IF(I110="High",3,IF(I110="Medium",2,IF(I110="Low",1,0)))))</f>
        <v/>
      </c>
      <c r="S110" s="46" t="n"/>
    </row>
    <row r="111" ht="22" customHeight="1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>
        <f>IF(A111="","",IF(Q111="Yes",5,0)+IF(I111="Critical",4,IF(I111="High",3,IF(I111="Medium",2,IF(I111="Low",1,0)))))</f>
        <v/>
      </c>
      <c r="S111" s="48" t="n"/>
    </row>
    <row r="112" ht="22" customHeight="1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>
        <f>IF(A112="","",IF(Q112="Yes",5,0)+IF(I112="Critical",4,IF(I112="High",3,IF(I112="Medium",2,IF(I112="Low",1,0)))))</f>
        <v/>
      </c>
      <c r="S112" s="46" t="n"/>
    </row>
    <row r="113" ht="22" customHeight="1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>
        <f>IF(A113="","",IF(Q113="Yes",5,0)+IF(I113="Critical",4,IF(I113="High",3,IF(I113="Medium",2,IF(I113="Low",1,0)))))</f>
        <v/>
      </c>
      <c r="S113" s="48" t="n"/>
    </row>
    <row r="114" ht="22" customHeight="1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>
        <f>IF(A114="","",IF(Q114="Yes",5,0)+IF(I114="Critical",4,IF(I114="High",3,IF(I114="Medium",2,IF(I114="Low",1,0)))))</f>
        <v/>
      </c>
      <c r="S114" s="46" t="n"/>
    </row>
    <row r="115" ht="22" customHeight="1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>
        <f>IF(A115="","",IF(Q115="Yes",5,0)+IF(I115="Critical",4,IF(I115="High",3,IF(I115="Medium",2,IF(I115="Low",1,0)))))</f>
        <v/>
      </c>
      <c r="S115" s="48" t="n"/>
    </row>
    <row r="116" ht="22" customHeight="1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>
        <f>IF(A116="","",IF(Q116="Yes",5,0)+IF(I116="Critical",4,IF(I116="High",3,IF(I116="Medium",2,IF(I116="Low",1,0)))))</f>
        <v/>
      </c>
      <c r="S116" s="46" t="n"/>
    </row>
    <row r="117" ht="22" customHeight="1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>
        <f>IF(A117="","",IF(Q117="Yes",5,0)+IF(I117="Critical",4,IF(I117="High",3,IF(I117="Medium",2,IF(I117="Low",1,0)))))</f>
        <v/>
      </c>
      <c r="S117" s="48" t="n"/>
    </row>
    <row r="118" ht="22" customHeight="1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>
        <f>IF(A118="","",IF(Q118="Yes",5,0)+IF(I118="Critical",4,IF(I118="High",3,IF(I118="Medium",2,IF(I118="Low",1,0)))))</f>
        <v/>
      </c>
      <c r="S118" s="46" t="n"/>
    </row>
    <row r="119" ht="22" customHeight="1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>
        <f>IF(A119="","",IF(Q119="Yes",5,0)+IF(I119="Critical",4,IF(I119="High",3,IF(I119="Medium",2,IF(I119="Low",1,0)))))</f>
        <v/>
      </c>
      <c r="S119" s="48" t="n"/>
    </row>
    <row r="120" ht="22" customHeight="1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>
        <f>IF(A120="","",IF(Q120="Yes",5,0)+IF(I120="Critical",4,IF(I120="High",3,IF(I120="Medium",2,IF(I120="Low",1,0)))))</f>
        <v/>
      </c>
      <c r="S120" s="46" t="n"/>
    </row>
    <row r="121" ht="22" customHeight="1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>
        <f>IF(A121="","",IF(Q121="Yes",5,0)+IF(I121="Critical",4,IF(I121="High",3,IF(I121="Medium",2,IF(I121="Low",1,0)))))</f>
        <v/>
      </c>
      <c r="S121" s="48" t="n"/>
    </row>
    <row r="122" ht="22" customHeight="1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>
        <f>IF(A122="","",IF(Q122="Yes",5,0)+IF(I122="Critical",4,IF(I122="High",3,IF(I122="Medium",2,IF(I122="Low",1,0)))))</f>
        <v/>
      </c>
      <c r="S122" s="46" t="n"/>
    </row>
    <row r="123" ht="22" customHeight="1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>
        <f>IF(A123="","",IF(Q123="Yes",5,0)+IF(I123="Critical",4,IF(I123="High",3,IF(I123="Medium",2,IF(I123="Low",1,0)))))</f>
        <v/>
      </c>
      <c r="S123" s="48" t="n"/>
    </row>
    <row r="124" ht="22" customHeight="1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>
        <f>IF(A124="","",IF(Q124="Yes",5,0)+IF(I124="Critical",4,IF(I124="High",3,IF(I124="Medium",2,IF(I124="Low",1,0)))))</f>
        <v/>
      </c>
      <c r="S124" s="46" t="n"/>
    </row>
    <row r="125" ht="22" customHeight="1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>
        <f>IF(A125="","",IF(Q125="Yes",5,0)+IF(I125="Critical",4,IF(I125="High",3,IF(I125="Medium",2,IF(I125="Low",1,0)))))</f>
        <v/>
      </c>
      <c r="S125" s="48" t="n"/>
    </row>
    <row r="126" ht="22" customHeight="1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>
        <f>IF(A126="","",IF(Q126="Yes",5,0)+IF(I126="Critical",4,IF(I126="High",3,IF(I126="Medium",2,IF(I126="Low",1,0)))))</f>
        <v/>
      </c>
      <c r="S126" s="46" t="n"/>
    </row>
    <row r="127" ht="22" customHeight="1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>
        <f>IF(A127="","",IF(Q127="Yes",5,0)+IF(I127="Critical",4,IF(I127="High",3,IF(I127="Medium",2,IF(I127="Low",1,0)))))</f>
        <v/>
      </c>
      <c r="S127" s="48" t="n"/>
    </row>
    <row r="128" ht="22" customHeight="1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>
        <f>IF(A128="","",IF(Q128="Yes",5,0)+IF(I128="Critical",4,IF(I128="High",3,IF(I128="Medium",2,IF(I128="Low",1,0)))))</f>
        <v/>
      </c>
      <c r="S128" s="46" t="n"/>
    </row>
    <row r="129" ht="22" customHeight="1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>
        <f>IF(A129="","",IF(Q129="Yes",5,0)+IF(I129="Critical",4,IF(I129="High",3,IF(I129="Medium",2,IF(I129="Low",1,0)))))</f>
        <v/>
      </c>
      <c r="S129" s="48" t="n"/>
    </row>
    <row r="130" ht="22" customHeight="1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>
        <f>IF(A130="","",IF(Q130="Yes",5,0)+IF(I130="Critical",4,IF(I130="High",3,IF(I130="Medium",2,IF(I130="Low",1,0)))))</f>
        <v/>
      </c>
      <c r="S130" s="46" t="n"/>
    </row>
    <row r="131" ht="22" customHeight="1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>
        <f>IF(A131="","",IF(Q131="Yes",5,0)+IF(I131="Critical",4,IF(I131="High",3,IF(I131="Medium",2,IF(I131="Low",1,0)))))</f>
        <v/>
      </c>
      <c r="S131" s="48" t="n"/>
    </row>
    <row r="132" ht="22" customHeight="1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>
        <f>IF(A132="","",IF(Q132="Yes",5,0)+IF(I132="Critical",4,IF(I132="High",3,IF(I132="Medium",2,IF(I132="Low",1,0)))))</f>
        <v/>
      </c>
      <c r="S132" s="46" t="n"/>
    </row>
    <row r="133" ht="22" customHeight="1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>
        <f>IF(A133="","",IF(Q133="Yes",5,0)+IF(I133="Critical",4,IF(I133="High",3,IF(I133="Medium",2,IF(I133="Low",1,0)))))</f>
        <v/>
      </c>
      <c r="S133" s="48" t="n"/>
    </row>
    <row r="134" ht="22" customHeight="1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>
        <f>IF(A134="","",IF(Q134="Yes",5,0)+IF(I134="Critical",4,IF(I134="High",3,IF(I134="Medium",2,IF(I134="Low",1,0)))))</f>
        <v/>
      </c>
      <c r="S134" s="46" t="n"/>
    </row>
    <row r="135" ht="22" customHeight="1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>
        <f>IF(A135="","",IF(Q135="Yes",5,0)+IF(I135="Critical",4,IF(I135="High",3,IF(I135="Medium",2,IF(I135="Low",1,0)))))</f>
        <v/>
      </c>
      <c r="S135" s="48" t="n"/>
    </row>
    <row r="136" ht="22" customHeight="1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>
        <f>IF(A136="","",IF(Q136="Yes",5,0)+IF(I136="Critical",4,IF(I136="High",3,IF(I136="Medium",2,IF(I136="Low",1,0)))))</f>
        <v/>
      </c>
      <c r="S136" s="46" t="n"/>
    </row>
    <row r="137" ht="22" customHeight="1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>
        <f>IF(A137="","",IF(Q137="Yes",5,0)+IF(I137="Critical",4,IF(I137="High",3,IF(I137="Medium",2,IF(I137="Low",1,0)))))</f>
        <v/>
      </c>
      <c r="S137" s="48" t="n"/>
    </row>
    <row r="138" ht="22" customHeight="1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>
        <f>IF(A138="","",IF(Q138="Yes",5,0)+IF(I138="Critical",4,IF(I138="High",3,IF(I138="Medium",2,IF(I138="Low",1,0)))))</f>
        <v/>
      </c>
      <c r="S138" s="46" t="n"/>
    </row>
    <row r="139" ht="22" customHeight="1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>
        <f>IF(A139="","",IF(Q139="Yes",5,0)+IF(I139="Critical",4,IF(I139="High",3,IF(I139="Medium",2,IF(I139="Low",1,0)))))</f>
        <v/>
      </c>
      <c r="S139" s="48" t="n"/>
    </row>
    <row r="140" ht="22" customHeight="1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>
        <f>IF(A140="","",IF(Q140="Yes",5,0)+IF(I140="Critical",4,IF(I140="High",3,IF(I140="Medium",2,IF(I140="Low",1,0)))))</f>
        <v/>
      </c>
      <c r="S140" s="46" t="n"/>
    </row>
    <row r="141" ht="22" customHeight="1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>
        <f>IF(A141="","",IF(Q141="Yes",5,0)+IF(I141="Critical",4,IF(I141="High",3,IF(I141="Medium",2,IF(I141="Low",1,0)))))</f>
        <v/>
      </c>
      <c r="S141" s="48" t="n"/>
    </row>
    <row r="142" ht="22" customHeight="1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>
        <f>IF(A142="","",IF(Q142="Yes",5,0)+IF(I142="Critical",4,IF(I142="High",3,IF(I142="Medium",2,IF(I142="Low",1,0)))))</f>
        <v/>
      </c>
      <c r="S142" s="46" t="n"/>
    </row>
    <row r="143" ht="22" customHeight="1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>
        <f>IF(A143="","",IF(Q143="Yes",5,0)+IF(I143="Critical",4,IF(I143="High",3,IF(I143="Medium",2,IF(I143="Low",1,0)))))</f>
        <v/>
      </c>
      <c r="S143" s="48" t="n"/>
    </row>
    <row r="144" ht="22" customHeight="1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>
        <f>IF(A144="","",IF(Q144="Yes",5,0)+IF(I144="Critical",4,IF(I144="High",3,IF(I144="Medium",2,IF(I144="Low",1,0)))))</f>
        <v/>
      </c>
      <c r="S144" s="46" t="n"/>
    </row>
    <row r="145" ht="22" customHeight="1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>
        <f>IF(A145="","",IF(Q145="Yes",5,0)+IF(I145="Critical",4,IF(I145="High",3,IF(I145="Medium",2,IF(I145="Low",1,0)))))</f>
        <v/>
      </c>
      <c r="S145" s="48" t="n"/>
    </row>
    <row r="146" ht="22" customHeight="1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>
        <f>IF(A146="","",IF(Q146="Yes",5,0)+IF(I146="Critical",4,IF(I146="High",3,IF(I146="Medium",2,IF(I146="Low",1,0)))))</f>
        <v/>
      </c>
      <c r="S146" s="46" t="n"/>
    </row>
    <row r="147" ht="22" customHeight="1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>
        <f>IF(A147="","",IF(Q147="Yes",5,0)+IF(I147="Critical",4,IF(I147="High",3,IF(I147="Medium",2,IF(I147="Low",1,0)))))</f>
        <v/>
      </c>
      <c r="S147" s="48" t="n"/>
    </row>
    <row r="148" ht="22" customHeight="1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>
        <f>IF(A148="","",IF(Q148="Yes",5,0)+IF(I148="Critical",4,IF(I148="High",3,IF(I148="Medium",2,IF(I148="Low",1,0)))))</f>
        <v/>
      </c>
      <c r="S148" s="46" t="n"/>
    </row>
    <row r="149" ht="22" customHeight="1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>
        <f>IF(A149="","",IF(Q149="Yes",5,0)+IF(I149="Critical",4,IF(I149="High",3,IF(I149="Medium",2,IF(I149="Low",1,0)))))</f>
        <v/>
      </c>
      <c r="S149" s="48" t="n"/>
    </row>
    <row r="150" ht="22" customHeight="1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>
        <f>IF(A150="","",IF(Q150="Yes",5,0)+IF(I150="Critical",4,IF(I150="High",3,IF(I150="Medium",2,IF(I150="Low",1,0)))))</f>
        <v/>
      </c>
      <c r="S150" s="46" t="n"/>
    </row>
    <row r="151" ht="22" customHeight="1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>
        <f>IF(A151="","",IF(Q151="Yes",5,0)+IF(I151="Critical",4,IF(I151="High",3,IF(I151="Medium",2,IF(I151="Low",1,0)))))</f>
        <v/>
      </c>
      <c r="S151" s="48" t="n"/>
    </row>
    <row r="152" ht="22" customHeight="1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>
        <f>IF(A152="","",IF(Q152="Yes",5,0)+IF(I152="Critical",4,IF(I152="High",3,IF(I152="Medium",2,IF(I152="Low",1,0)))))</f>
        <v/>
      </c>
      <c r="S152" s="46" t="n"/>
    </row>
    <row r="153" ht="22" customHeight="1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>
        <f>IF(A153="","",IF(Q153="Yes",5,0)+IF(I153="Critical",4,IF(I153="High",3,IF(I153="Medium",2,IF(I153="Low",1,0)))))</f>
        <v/>
      </c>
      <c r="S153" s="48" t="n"/>
    </row>
    <row r="154" ht="22" customHeight="1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>
        <f>IF(A154="","",IF(Q154="Yes",5,0)+IF(I154="Critical",4,IF(I154="High",3,IF(I154="Medium",2,IF(I154="Low",1,0)))))</f>
        <v/>
      </c>
      <c r="S154" s="46" t="n"/>
    </row>
    <row r="155" ht="22" customHeight="1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>
        <f>IF(A155="","",IF(Q155="Yes",5,0)+IF(I155="Critical",4,IF(I155="High",3,IF(I155="Medium",2,IF(I155="Low",1,0)))))</f>
        <v/>
      </c>
      <c r="S155" s="48" t="n"/>
    </row>
    <row r="156" ht="22" customHeight="1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>
        <f>IF(A156="","",IF(Q156="Yes",5,0)+IF(I156="Critical",4,IF(I156="High",3,IF(I156="Medium",2,IF(I156="Low",1,0)))))</f>
        <v/>
      </c>
      <c r="S156" s="46" t="n"/>
    </row>
    <row r="157" ht="22" customHeight="1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>
        <f>IF(A157="","",IF(Q157="Yes",5,0)+IF(I157="Critical",4,IF(I157="High",3,IF(I157="Medium",2,IF(I157="Low",1,0)))))</f>
        <v/>
      </c>
      <c r="S157" s="48" t="n"/>
    </row>
    <row r="158" ht="22" customHeight="1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>
        <f>IF(A158="","",IF(Q158="Yes",5,0)+IF(I158="Critical",4,IF(I158="High",3,IF(I158="Medium",2,IF(I158="Low",1,0)))))</f>
        <v/>
      </c>
      <c r="S158" s="46" t="n"/>
    </row>
    <row r="159" ht="22" customHeight="1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>
        <f>IF(A159="","",IF(Q159="Yes",5,0)+IF(I159="Critical",4,IF(I159="High",3,IF(I159="Medium",2,IF(I159="Low",1,0)))))</f>
        <v/>
      </c>
      <c r="S159" s="48" t="n"/>
    </row>
    <row r="160" ht="22" customHeight="1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>
        <f>IF(A160="","",IF(Q160="Yes",5,0)+IF(I160="Critical",4,IF(I160="High",3,IF(I160="Medium",2,IF(I160="Low",1,0)))))</f>
        <v/>
      </c>
      <c r="S160" s="46" t="n"/>
    </row>
    <row r="161" ht="22" customHeight="1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>
        <f>IF(A161="","",IF(Q161="Yes",5,0)+IF(I161="Critical",4,IF(I161="High",3,IF(I161="Medium",2,IF(I161="Low",1,0)))))</f>
        <v/>
      </c>
      <c r="S161" s="48" t="n"/>
    </row>
    <row r="162" ht="22" customHeight="1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>
        <f>IF(A162="","",IF(Q162="Yes",5,0)+IF(I162="Critical",4,IF(I162="High",3,IF(I162="Medium",2,IF(I162="Low",1,0)))))</f>
        <v/>
      </c>
      <c r="S162" s="46" t="n"/>
    </row>
    <row r="163" ht="22" customHeight="1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>
        <f>IF(A163="","",IF(Q163="Yes",5,0)+IF(I163="Critical",4,IF(I163="High",3,IF(I163="Medium",2,IF(I163="Low",1,0)))))</f>
        <v/>
      </c>
      <c r="S163" s="48" t="n"/>
    </row>
    <row r="164" ht="22" customHeight="1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>
        <f>IF(A164="","",IF(Q164="Yes",5,0)+IF(I164="Critical",4,IF(I164="High",3,IF(I164="Medium",2,IF(I164="Low",1,0)))))</f>
        <v/>
      </c>
      <c r="S164" s="46" t="n"/>
    </row>
    <row r="165" ht="22" customHeight="1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>
        <f>IF(A165="","",IF(Q165="Yes",5,0)+IF(I165="Critical",4,IF(I165="High",3,IF(I165="Medium",2,IF(I165="Low",1,0)))))</f>
        <v/>
      </c>
      <c r="S165" s="48" t="n"/>
    </row>
    <row r="166" ht="22" customHeight="1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>
        <f>IF(A166="","",IF(Q166="Yes",5,0)+IF(I166="Critical",4,IF(I166="High",3,IF(I166="Medium",2,IF(I166="Low",1,0)))))</f>
        <v/>
      </c>
      <c r="S166" s="46" t="n"/>
    </row>
    <row r="167" ht="22" customHeight="1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>
        <f>IF(A167="","",IF(Q167="Yes",5,0)+IF(I167="Critical",4,IF(I167="High",3,IF(I167="Medium",2,IF(I167="Low",1,0)))))</f>
        <v/>
      </c>
      <c r="S167" s="48" t="n"/>
    </row>
    <row r="168" ht="22" customHeight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>
        <f>IF(A168="","",IF(Q168="Yes",5,0)+IF(I168="Critical",4,IF(I168="High",3,IF(I168="Medium",2,IF(I168="Low",1,0)))))</f>
        <v/>
      </c>
      <c r="S168" s="46" t="n"/>
    </row>
    <row r="169" ht="22" customHeight="1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>
        <f>IF(A169="","",IF(Q169="Yes",5,0)+IF(I169="Critical",4,IF(I169="High",3,IF(I169="Medium",2,IF(I169="Low",1,0)))))</f>
        <v/>
      </c>
      <c r="S169" s="48" t="n"/>
    </row>
    <row r="170" ht="22" customHeight="1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>
        <f>IF(A170="","",IF(Q170="Yes",5,0)+IF(I170="Critical",4,IF(I170="High",3,IF(I170="Medium",2,IF(I170="Low",1,0)))))</f>
        <v/>
      </c>
      <c r="S170" s="46" t="n"/>
    </row>
    <row r="171" ht="22" customHeight="1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>
        <f>IF(A171="","",IF(Q171="Yes",5,0)+IF(I171="Critical",4,IF(I171="High",3,IF(I171="Medium",2,IF(I171="Low",1,0)))))</f>
        <v/>
      </c>
      <c r="S171" s="48" t="n"/>
    </row>
    <row r="172" ht="22" customHeight="1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>
        <f>IF(A172="","",IF(Q172="Yes",5,0)+IF(I172="Critical",4,IF(I172="High",3,IF(I172="Medium",2,IF(I172="Low",1,0)))))</f>
        <v/>
      </c>
      <c r="S172" s="46" t="n"/>
    </row>
    <row r="173" ht="22" customHeight="1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>
        <f>IF(A173="","",IF(Q173="Yes",5,0)+IF(I173="Critical",4,IF(I173="High",3,IF(I173="Medium",2,IF(I173="Low",1,0)))))</f>
        <v/>
      </c>
      <c r="S173" s="48" t="n"/>
    </row>
    <row r="174" ht="22" customHeight="1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>
        <f>IF(A174="","",IF(Q174="Yes",5,0)+IF(I174="Critical",4,IF(I174="High",3,IF(I174="Medium",2,IF(I174="Low",1,0)))))</f>
        <v/>
      </c>
      <c r="S174" s="46" t="n"/>
    </row>
    <row r="175" ht="22" customHeight="1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>
        <f>IF(A175="","",IF(Q175="Yes",5,0)+IF(I175="Critical",4,IF(I175="High",3,IF(I175="Medium",2,IF(I175="Low",1,0)))))</f>
        <v/>
      </c>
      <c r="S175" s="48" t="n"/>
    </row>
    <row r="176" ht="22" customHeight="1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>
        <f>IF(A176="","",IF(Q176="Yes",5,0)+IF(I176="Critical",4,IF(I176="High",3,IF(I176="Medium",2,IF(I176="Low",1,0)))))</f>
        <v/>
      </c>
      <c r="S176" s="46" t="n"/>
    </row>
    <row r="177" ht="22" customHeight="1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>
        <f>IF(A177="","",IF(Q177="Yes",5,0)+IF(I177="Critical",4,IF(I177="High",3,IF(I177="Medium",2,IF(I177="Low",1,0)))))</f>
        <v/>
      </c>
      <c r="S177" s="48" t="n"/>
    </row>
    <row r="178" ht="22" customHeight="1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>
        <f>IF(A178="","",IF(Q178="Yes",5,0)+IF(I178="Critical",4,IF(I178="High",3,IF(I178="Medium",2,IF(I178="Low",1,0)))))</f>
        <v/>
      </c>
      <c r="S178" s="46" t="n"/>
    </row>
    <row r="179" ht="22" customHeight="1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>
        <f>IF(A179="","",IF(Q179="Yes",5,0)+IF(I179="Critical",4,IF(I179="High",3,IF(I179="Medium",2,IF(I179="Low",1,0)))))</f>
        <v/>
      </c>
      <c r="S179" s="48" t="n"/>
    </row>
    <row r="180" ht="22" customHeight="1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>
        <f>IF(A180="","",IF(Q180="Yes",5,0)+IF(I180="Critical",4,IF(I180="High",3,IF(I180="Medium",2,IF(I180="Low",1,0)))))</f>
        <v/>
      </c>
      <c r="S180" s="46" t="n"/>
    </row>
    <row r="181" ht="22" customHeight="1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>
        <f>IF(A181="","",IF(Q181="Yes",5,0)+IF(I181="Critical",4,IF(I181="High",3,IF(I181="Medium",2,IF(I181="Low",1,0)))))</f>
        <v/>
      </c>
      <c r="S181" s="48" t="n"/>
    </row>
    <row r="182" ht="22" customHeight="1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>
        <f>IF(A182="","",IF(Q182="Yes",5,0)+IF(I182="Critical",4,IF(I182="High",3,IF(I182="Medium",2,IF(I182="Low",1,0)))))</f>
        <v/>
      </c>
      <c r="S182" s="46" t="n"/>
    </row>
    <row r="183" ht="22" customHeight="1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>
        <f>IF(A183="","",IF(Q183="Yes",5,0)+IF(I183="Critical",4,IF(I183="High",3,IF(I183="Medium",2,IF(I183="Low",1,0)))))</f>
        <v/>
      </c>
      <c r="S183" s="48" t="n"/>
    </row>
    <row r="184" ht="22" customHeight="1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>
        <f>IF(A184="","",IF(Q184="Yes",5,0)+IF(I184="Critical",4,IF(I184="High",3,IF(I184="Medium",2,IF(I184="Low",1,0)))))</f>
        <v/>
      </c>
      <c r="S184" s="46" t="n"/>
    </row>
    <row r="185" ht="22" customHeight="1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>
        <f>IF(A185="","",IF(Q185="Yes",5,0)+IF(I185="Critical",4,IF(I185="High",3,IF(I185="Medium",2,IF(I185="Low",1,0)))))</f>
        <v/>
      </c>
      <c r="S185" s="48" t="n"/>
    </row>
    <row r="186" ht="22" customHeight="1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>
        <f>IF(A186="","",IF(Q186="Yes",5,0)+IF(I186="Critical",4,IF(I186="High",3,IF(I186="Medium",2,IF(I186="Low",1,0)))))</f>
        <v/>
      </c>
      <c r="S186" s="46" t="n"/>
    </row>
    <row r="187" ht="22" customHeight="1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>
        <f>IF(A187="","",IF(Q187="Yes",5,0)+IF(I187="Critical",4,IF(I187="High",3,IF(I187="Medium",2,IF(I187="Low",1,0)))))</f>
        <v/>
      </c>
      <c r="S187" s="48" t="n"/>
    </row>
    <row r="188" ht="22" customHeight="1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>
        <f>IF(A188="","",IF(Q188="Yes",5,0)+IF(I188="Critical",4,IF(I188="High",3,IF(I188="Medium",2,IF(I188="Low",1,0)))))</f>
        <v/>
      </c>
      <c r="S188" s="46" t="n"/>
    </row>
    <row r="189" ht="22" customHeight="1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>
        <f>IF(A189="","",IF(Q189="Yes",5,0)+IF(I189="Critical",4,IF(I189="High",3,IF(I189="Medium",2,IF(I189="Low",1,0)))))</f>
        <v/>
      </c>
      <c r="S189" s="48" t="n"/>
    </row>
    <row r="190" ht="22" customHeight="1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>
        <f>IF(A190="","",IF(Q190="Yes",5,0)+IF(I190="Critical",4,IF(I190="High",3,IF(I190="Medium",2,IF(I190="Low",1,0)))))</f>
        <v/>
      </c>
      <c r="S190" s="46" t="n"/>
    </row>
    <row r="191" ht="22" customHeight="1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>
        <f>IF(A191="","",IF(Q191="Yes",5,0)+IF(I191="Critical",4,IF(I191="High",3,IF(I191="Medium",2,IF(I191="Low",1,0)))))</f>
        <v/>
      </c>
      <c r="S191" s="48" t="n"/>
    </row>
    <row r="192" ht="22" customHeight="1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>
        <f>IF(A192="","",IF(Q192="Yes",5,0)+IF(I192="Critical",4,IF(I192="High",3,IF(I192="Medium",2,IF(I192="Low",1,0)))))</f>
        <v/>
      </c>
      <c r="S192" s="46" t="n"/>
    </row>
    <row r="193" ht="22" customHeight="1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>
        <f>IF(A193="","",IF(Q193="Yes",5,0)+IF(I193="Critical",4,IF(I193="High",3,IF(I193="Medium",2,IF(I193="Low",1,0)))))</f>
        <v/>
      </c>
      <c r="S193" s="48" t="n"/>
    </row>
    <row r="194" ht="22" customHeight="1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>
        <f>IF(A194="","",IF(Q194="Yes",5,0)+IF(I194="Critical",4,IF(I194="High",3,IF(I194="Medium",2,IF(I194="Low",1,0)))))</f>
        <v/>
      </c>
      <c r="S194" s="46" t="n"/>
    </row>
    <row r="195" ht="22" customHeight="1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>
        <f>IF(A195="","",IF(Q195="Yes",5,0)+IF(I195="Critical",4,IF(I195="High",3,IF(I195="Medium",2,IF(I195="Low",1,0)))))</f>
        <v/>
      </c>
      <c r="S195" s="48" t="n"/>
    </row>
    <row r="196" ht="22" customHeight="1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>
        <f>IF(A196="","",IF(Q196="Yes",5,0)+IF(I196="Critical",4,IF(I196="High",3,IF(I196="Medium",2,IF(I196="Low",1,0)))))</f>
        <v/>
      </c>
      <c r="S196" s="46" t="n"/>
    </row>
    <row r="197" ht="22" customHeight="1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>
        <f>IF(A197="","",IF(Q197="Yes",5,0)+IF(I197="Critical",4,IF(I197="High",3,IF(I197="Medium",2,IF(I197="Low",1,0)))))</f>
        <v/>
      </c>
      <c r="S197" s="48" t="n"/>
    </row>
    <row r="198" ht="22" customHeight="1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>
        <f>IF(A198="","",IF(Q198="Yes",5,0)+IF(I198="Critical",4,IF(I198="High",3,IF(I198="Medium",2,IF(I198="Low",1,0)))))</f>
        <v/>
      </c>
      <c r="S198" s="46" t="n"/>
    </row>
    <row r="199" ht="22" customHeight="1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>
        <f>IF(A199="","",IF(Q199="Yes",5,0)+IF(I199="Critical",4,IF(I199="High",3,IF(I199="Medium",2,IF(I199="Low",1,0)))))</f>
        <v/>
      </c>
      <c r="S199" s="48" t="n"/>
    </row>
    <row r="200" ht="22" customHeight="1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>
        <f>IF(A200="","",IF(Q200="Yes",5,0)+IF(I200="Critical",4,IF(I200="High",3,IF(I200="Medium",2,IF(I200="Low",1,0)))))</f>
        <v/>
      </c>
      <c r="S200" s="46" t="n"/>
    </row>
    <row r="201" ht="22" customHeight="1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>
        <f>IF(A201="","",IF(Q201="Yes",5,0)+IF(I201="Critical",4,IF(I201="High",3,IF(I201="Medium",2,IF(I201="Low",1,0)))))</f>
        <v/>
      </c>
      <c r="S201" s="48" t="n"/>
    </row>
    <row r="202" ht="22" customHeight="1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>
        <f>IF(A202="","",IF(Q202="Yes",5,0)+IF(I202="Critical",4,IF(I202="High",3,IF(I202="Medium",2,IF(I202="Low",1,0)))))</f>
        <v/>
      </c>
      <c r="S202" s="46" t="n"/>
    </row>
    <row r="203" ht="22" customHeight="1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>
        <f>IF(A203="","",IF(Q203="Yes",5,0)+IF(I203="Critical",4,IF(I203="High",3,IF(I203="Medium",2,IF(I203="Low",1,0)))))</f>
        <v/>
      </c>
      <c r="S203" s="48" t="n"/>
    </row>
    <row r="204" ht="22" customHeight="1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>
        <f>IF(A204="","",IF(Q204="Yes",5,0)+IF(I204="Critical",4,IF(I204="High",3,IF(I204="Medium",2,IF(I204="Low",1,0)))))</f>
        <v/>
      </c>
      <c r="S204" s="46" t="n"/>
    </row>
    <row r="205" ht="22" customHeight="1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>
        <f>IF(A205="","",IF(Q205="Yes",5,0)+IF(I205="Critical",4,IF(I205="High",3,IF(I205="Medium",2,IF(I205="Low",1,0)))))</f>
        <v/>
      </c>
      <c r="S205" s="48" t="n"/>
    </row>
    <row r="206" ht="22" customHeight="1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>
        <f>IF(A206="","",IF(Q206="Yes",5,0)+IF(I206="Critical",4,IF(I206="High",3,IF(I206="Medium",2,IF(I206="Low",1,0)))))</f>
        <v/>
      </c>
      <c r="S206" s="46" t="n"/>
    </row>
    <row r="207" ht="22" customHeight="1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>
        <f>IF(A207="","",IF(Q207="Yes",5,0)+IF(I207="Critical",4,IF(I207="High",3,IF(I207="Medium",2,IF(I207="Low",1,0)))))</f>
        <v/>
      </c>
      <c r="S207" s="48" t="n"/>
    </row>
    <row r="208" ht="22" customHeight="1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>
        <f>IF(A208="","",IF(Q208="Yes",5,0)+IF(I208="Critical",4,IF(I208="High",3,IF(I208="Medium",2,IF(I208="Low",1,0)))))</f>
        <v/>
      </c>
      <c r="S208" s="46" t="n"/>
    </row>
    <row r="209" ht="22" customHeight="1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>
        <f>IF(A209="","",IF(Q209="Yes",5,0)+IF(I209="Critical",4,IF(I209="High",3,IF(I209="Medium",2,IF(I209="Low",1,0)))))</f>
        <v/>
      </c>
      <c r="S209" s="48" t="n"/>
    </row>
    <row r="210" ht="22" customHeight="1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>
        <f>IF(A210="","",IF(Q210="Yes",5,0)+IF(I210="Critical",4,IF(I210="High",3,IF(I210="Medium",2,IF(I210="Low",1,0)))))</f>
        <v/>
      </c>
      <c r="S210" s="46" t="n"/>
    </row>
    <row r="211" ht="22" customHeight="1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>
        <f>IF(A211="","",IF(Q211="Yes",5,0)+IF(I211="Critical",4,IF(I211="High",3,IF(I211="Medium",2,IF(I211="Low",1,0)))))</f>
        <v/>
      </c>
      <c r="S211" s="48" t="n"/>
    </row>
    <row r="212" ht="22" customHeight="1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>
        <f>IF(A212="","",IF(Q212="Yes",5,0)+IF(I212="Critical",4,IF(I212="High",3,IF(I212="Medium",2,IF(I212="Low",1,0)))))</f>
        <v/>
      </c>
      <c r="S212" s="46" t="n"/>
    </row>
    <row r="213" ht="22" customHeight="1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>
        <f>IF(A213="","",IF(Q213="Yes",5,0)+IF(I213="Critical",4,IF(I213="High",3,IF(I213="Medium",2,IF(I213="Low",1,0)))))</f>
        <v/>
      </c>
      <c r="S213" s="48" t="n"/>
    </row>
    <row r="214" ht="22" customHeight="1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>
        <f>IF(A214="","",IF(Q214="Yes",5,0)+IF(I214="Critical",4,IF(I214="High",3,IF(I214="Medium",2,IF(I214="Low",1,0)))))</f>
        <v/>
      </c>
      <c r="S214" s="46" t="n"/>
    </row>
    <row r="215" ht="22" customHeight="1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>
        <f>IF(A215="","",IF(Q215="Yes",5,0)+IF(I215="Critical",4,IF(I215="High",3,IF(I215="Medium",2,IF(I215="Low",1,0)))))</f>
        <v/>
      </c>
      <c r="S215" s="48" t="n"/>
    </row>
    <row r="216" ht="22" customHeight="1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>
        <f>IF(A216="","",IF(Q216="Yes",5,0)+IF(I216="Critical",4,IF(I216="High",3,IF(I216="Medium",2,IF(I216="Low",1,0)))))</f>
        <v/>
      </c>
      <c r="S216" s="46" t="n"/>
    </row>
    <row r="217" ht="22" customHeight="1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>
        <f>IF(A217="","",IF(Q217="Yes",5,0)+IF(I217="Critical",4,IF(I217="High",3,IF(I217="Medium",2,IF(I217="Low",1,0)))))</f>
        <v/>
      </c>
      <c r="S217" s="48" t="n"/>
    </row>
    <row r="218" ht="22" customHeight="1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>
        <f>IF(A218="","",IF(Q218="Yes",5,0)+IF(I218="Critical",4,IF(I218="High",3,IF(I218="Medium",2,IF(I218="Low",1,0)))))</f>
        <v/>
      </c>
      <c r="S218" s="46" t="n"/>
    </row>
    <row r="219" ht="22" customHeight="1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>
        <f>IF(A219="","",IF(Q219="Yes",5,0)+IF(I219="Critical",4,IF(I219="High",3,IF(I219="Medium",2,IF(I219="Low",1,0)))))</f>
        <v/>
      </c>
      <c r="S219" s="48" t="n"/>
    </row>
    <row r="220" ht="22" customHeight="1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>
        <f>IF(A220="","",IF(Q220="Yes",5,0)+IF(I220="Critical",4,IF(I220="High",3,IF(I220="Medium",2,IF(I220="Low",1,0)))))</f>
        <v/>
      </c>
      <c r="S220" s="46" t="n"/>
    </row>
    <row r="221" ht="22" customHeight="1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>
        <f>IF(A221="","",IF(Q221="Yes",5,0)+IF(I221="Critical",4,IF(I221="High",3,IF(I221="Medium",2,IF(I221="Low",1,0)))))</f>
        <v/>
      </c>
      <c r="S221" s="48" t="n"/>
    </row>
    <row r="222" ht="22" customHeight="1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>
        <f>IF(A222="","",IF(Q222="Yes",5,0)+IF(I222="Critical",4,IF(I222="High",3,IF(I222="Medium",2,IF(I222="Low",1,0)))))</f>
        <v/>
      </c>
      <c r="S222" s="46" t="n"/>
    </row>
    <row r="223" ht="22" customHeight="1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>
        <f>IF(A223="","",IF(Q223="Yes",5,0)+IF(I223="Critical",4,IF(I223="High",3,IF(I223="Medium",2,IF(I223="Low",1,0)))))</f>
        <v/>
      </c>
      <c r="S223" s="48" t="n"/>
    </row>
    <row r="224" ht="22" customHeight="1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>
        <f>IF(A224="","",IF(Q224="Yes",5,0)+IF(I224="Critical",4,IF(I224="High",3,IF(I224="Medium",2,IF(I224="Low",1,0)))))</f>
        <v/>
      </c>
      <c r="S224" s="46" t="n"/>
    </row>
    <row r="225" ht="22" customHeight="1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>
        <f>IF(A225="","",IF(Q225="Yes",5,0)+IF(I225="Critical",4,IF(I225="High",3,IF(I225="Medium",2,IF(I225="Low",1,0)))))</f>
        <v/>
      </c>
      <c r="S225" s="48" t="n"/>
    </row>
    <row r="226" ht="22" customHeight="1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>
        <f>IF(A226="","",IF(Q226="Yes",5,0)+IF(I226="Critical",4,IF(I226="High",3,IF(I226="Medium",2,IF(I226="Low",1,0)))))</f>
        <v/>
      </c>
      <c r="S226" s="46" t="n"/>
    </row>
    <row r="227" ht="22" customHeight="1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>
        <f>IF(A227="","",IF(Q227="Yes",5,0)+IF(I227="Critical",4,IF(I227="High",3,IF(I227="Medium",2,IF(I227="Low",1,0)))))</f>
        <v/>
      </c>
      <c r="S227" s="48" t="n"/>
    </row>
    <row r="228" ht="22" customHeight="1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>
        <f>IF(A228="","",IF(Q228="Yes",5,0)+IF(I228="Critical",4,IF(I228="High",3,IF(I228="Medium",2,IF(I228="Low",1,0)))))</f>
        <v/>
      </c>
      <c r="S228" s="46" t="n"/>
    </row>
    <row r="229" ht="22" customHeight="1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>
        <f>IF(A229="","",IF(Q229="Yes",5,0)+IF(I229="Critical",4,IF(I229="High",3,IF(I229="Medium",2,IF(I229="Low",1,0)))))</f>
        <v/>
      </c>
      <c r="S229" s="48" t="n"/>
    </row>
    <row r="230" ht="22" customHeight="1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>
        <f>IF(A230="","",IF(Q230="Yes",5,0)+IF(I230="Critical",4,IF(I230="High",3,IF(I230="Medium",2,IF(I230="Low",1,0)))))</f>
        <v/>
      </c>
      <c r="S230" s="46" t="n"/>
    </row>
    <row r="231" ht="22" customHeight="1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>
        <f>IF(A231="","",IF(Q231="Yes",5,0)+IF(I231="Critical",4,IF(I231="High",3,IF(I231="Medium",2,IF(I231="Low",1,0)))))</f>
        <v/>
      </c>
      <c r="S231" s="48" t="n"/>
    </row>
    <row r="232" ht="22" customHeight="1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>
        <f>IF(A232="","",IF(Q232="Yes",5,0)+IF(I232="Critical",4,IF(I232="High",3,IF(I232="Medium",2,IF(I232="Low",1,0)))))</f>
        <v/>
      </c>
      <c r="S232" s="46" t="n"/>
    </row>
    <row r="233" ht="22" customHeight="1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>
        <f>IF(A233="","",IF(Q233="Yes",5,0)+IF(I233="Critical",4,IF(I233="High",3,IF(I233="Medium",2,IF(I233="Low",1,0)))))</f>
        <v/>
      </c>
      <c r="S233" s="48" t="n"/>
    </row>
    <row r="234" ht="22" customHeight="1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>
        <f>IF(A234="","",IF(Q234="Yes",5,0)+IF(I234="Critical",4,IF(I234="High",3,IF(I234="Medium",2,IF(I234="Low",1,0)))))</f>
        <v/>
      </c>
      <c r="S234" s="46" t="n"/>
    </row>
    <row r="235" ht="22" customHeight="1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>
        <f>IF(A235="","",IF(Q235="Yes",5,0)+IF(I235="Critical",4,IF(I235="High",3,IF(I235="Medium",2,IF(I235="Low",1,0)))))</f>
        <v/>
      </c>
      <c r="S235" s="48" t="n"/>
    </row>
    <row r="236" ht="22" customHeight="1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>
        <f>IF(A236="","",IF(Q236="Yes",5,0)+IF(I236="Critical",4,IF(I236="High",3,IF(I236="Medium",2,IF(I236="Low",1,0)))))</f>
        <v/>
      </c>
      <c r="S236" s="46" t="n"/>
    </row>
    <row r="237" ht="22" customHeight="1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>
        <f>IF(A237="","",IF(Q237="Yes",5,0)+IF(I237="Critical",4,IF(I237="High",3,IF(I237="Medium",2,IF(I237="Low",1,0)))))</f>
        <v/>
      </c>
      <c r="S237" s="48" t="n"/>
    </row>
    <row r="238" ht="22" customHeight="1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>
        <f>IF(A238="","",IF(Q238="Yes",5,0)+IF(I238="Critical",4,IF(I238="High",3,IF(I238="Medium",2,IF(I238="Low",1,0)))))</f>
        <v/>
      </c>
      <c r="S238" s="46" t="n"/>
    </row>
    <row r="239" ht="22" customHeight="1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>
        <f>IF(A239="","",IF(Q239="Yes",5,0)+IF(I239="Critical",4,IF(I239="High",3,IF(I239="Medium",2,IF(I239="Low",1,0)))))</f>
        <v/>
      </c>
      <c r="S239" s="48" t="n"/>
    </row>
    <row r="240" ht="22" customHeight="1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>
        <f>IF(A240="","",IF(Q240="Yes",5,0)+IF(I240="Critical",4,IF(I240="High",3,IF(I240="Medium",2,IF(I240="Low",1,0)))))</f>
        <v/>
      </c>
      <c r="S240" s="46" t="n"/>
    </row>
    <row r="241" ht="22" customHeight="1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>
        <f>IF(A241="","",IF(Q241="Yes",5,0)+IF(I241="Critical",4,IF(I241="High",3,IF(I241="Medium",2,IF(I241="Low",1,0)))))</f>
        <v/>
      </c>
      <c r="S241" s="48" t="n"/>
    </row>
    <row r="242" ht="22" customHeight="1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>
        <f>IF(A242="","",IF(Q242="Yes",5,0)+IF(I242="Critical",4,IF(I242="High",3,IF(I242="Medium",2,IF(I242="Low",1,0)))))</f>
        <v/>
      </c>
      <c r="S242" s="46" t="n"/>
    </row>
    <row r="243" ht="22" customHeight="1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>
        <f>IF(A243="","",IF(Q243="Yes",5,0)+IF(I243="Critical",4,IF(I243="High",3,IF(I243="Medium",2,IF(I243="Low",1,0)))))</f>
        <v/>
      </c>
      <c r="S243" s="48" t="n"/>
    </row>
    <row r="244" ht="22" customHeight="1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>
        <f>IF(A244="","",IF(Q244="Yes",5,0)+IF(I244="Critical",4,IF(I244="High",3,IF(I244="Medium",2,IF(I244="Low",1,0)))))</f>
        <v/>
      </c>
      <c r="S244" s="46" t="n"/>
    </row>
    <row r="245" ht="22" customHeight="1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>
        <f>IF(A245="","",IF(Q245="Yes",5,0)+IF(I245="Critical",4,IF(I245="High",3,IF(I245="Medium",2,IF(I245="Low",1,0)))))</f>
        <v/>
      </c>
      <c r="S245" s="48" t="n"/>
    </row>
    <row r="246" ht="22" customHeight="1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>
        <f>IF(A246="","",IF(Q246="Yes",5,0)+IF(I246="Critical",4,IF(I246="High",3,IF(I246="Medium",2,IF(I246="Low",1,0)))))</f>
        <v/>
      </c>
      <c r="S246" s="46" t="n"/>
    </row>
    <row r="247" ht="22" customHeight="1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>
        <f>IF(A247="","",IF(Q247="Yes",5,0)+IF(I247="Critical",4,IF(I247="High",3,IF(I247="Medium",2,IF(I247="Low",1,0)))))</f>
        <v/>
      </c>
      <c r="S247" s="48" t="n"/>
    </row>
    <row r="248" ht="22" customHeight="1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>
        <f>IF(A248="","",IF(Q248="Yes",5,0)+IF(I248="Critical",4,IF(I248="High",3,IF(I248="Medium",2,IF(I248="Low",1,0)))))</f>
        <v/>
      </c>
      <c r="S248" s="46" t="n"/>
    </row>
    <row r="249" ht="22" customHeight="1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>
        <f>IF(A249="","",IF(Q249="Yes",5,0)+IF(I249="Critical",4,IF(I249="High",3,IF(I249="Medium",2,IF(I249="Low",1,0)))))</f>
        <v/>
      </c>
      <c r="S249" s="48" t="n"/>
    </row>
    <row r="250" ht="22" customHeight="1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>
        <f>IF(A250="","",IF(Q250="Yes",5,0)+IF(I250="Critical",4,IF(I250="High",3,IF(I250="Medium",2,IF(I250="Low",1,0)))))</f>
        <v/>
      </c>
      <c r="S250" s="46" t="n"/>
    </row>
    <row r="251" ht="22" customHeight="1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>
        <f>IF(A251="","",IF(Q251="Yes",5,0)+IF(I251="Critical",4,IF(I251="High",3,IF(I251="Medium",2,IF(I251="Low",1,0)))))</f>
        <v/>
      </c>
      <c r="S251" s="48" t="n"/>
    </row>
    <row r="252" ht="22" customHeight="1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>
        <f>IF(A252="","",IF(Q252="Yes",5,0)+IF(I252="Critical",4,IF(I252="High",3,IF(I252="Medium",2,IF(I252="Low",1,0)))))</f>
        <v/>
      </c>
      <c r="S252" s="46" t="n"/>
    </row>
    <row r="253" ht="22" customHeight="1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>
        <f>IF(A253="","",IF(Q253="Yes",5,0)+IF(I253="Critical",4,IF(I253="High",3,IF(I253="Medium",2,IF(I253="Low",1,0)))))</f>
        <v/>
      </c>
      <c r="S253" s="48" t="n"/>
    </row>
    <row r="254" ht="22" customHeight="1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>
        <f>IF(A254="","",IF(Q254="Yes",5,0)+IF(I254="Critical",4,IF(I254="High",3,IF(I254="Medium",2,IF(I254="Low",1,0)))))</f>
        <v/>
      </c>
      <c r="S254" s="46" t="n"/>
    </row>
    <row r="255" ht="22" customHeight="1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>
        <f>IF(A255="","",IF(Q255="Yes",5,0)+IF(I255="Critical",4,IF(I255="High",3,IF(I255="Medium",2,IF(I255="Low",1,0)))))</f>
        <v/>
      </c>
      <c r="S255" s="48" t="n"/>
    </row>
    <row r="256" ht="22" customHeight="1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>
        <f>IF(A256="","",IF(Q256="Yes",5,0)+IF(I256="Critical",4,IF(I256="High",3,IF(I256="Medium",2,IF(I256="Low",1,0)))))</f>
        <v/>
      </c>
      <c r="S256" s="46" t="n"/>
    </row>
    <row r="257" ht="22" customHeight="1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>
        <f>IF(A257="","",IF(Q257="Yes",5,0)+IF(I257="Critical",4,IF(I257="High",3,IF(I257="Medium",2,IF(I257="Low",1,0)))))</f>
        <v/>
      </c>
      <c r="S257" s="48" t="n"/>
    </row>
    <row r="258" ht="22" customHeight="1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>
        <f>IF(A258="","",IF(Q258="Yes",5,0)+IF(I258="Critical",4,IF(I258="High",3,IF(I258="Medium",2,IF(I258="Low",1,0)))))</f>
        <v/>
      </c>
      <c r="S258" s="46" t="n"/>
    </row>
    <row r="259" ht="22" customHeight="1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>
        <f>IF(A259="","",IF(Q259="Yes",5,0)+IF(I259="Critical",4,IF(I259="High",3,IF(I259="Medium",2,IF(I259="Low",1,0)))))</f>
        <v/>
      </c>
      <c r="S259" s="48" t="n"/>
    </row>
    <row r="260" ht="22" customHeight="1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>
        <f>IF(A260="","",IF(Q260="Yes",5,0)+IF(I260="Critical",4,IF(I260="High",3,IF(I260="Medium",2,IF(I260="Low",1,0)))))</f>
        <v/>
      </c>
      <c r="S260" s="46" t="n"/>
    </row>
    <row r="261" ht="22" customHeight="1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>
        <f>IF(A261="","",IF(Q261="Yes",5,0)+IF(I261="Critical",4,IF(I261="High",3,IF(I261="Medium",2,IF(I261="Low",1,0)))))</f>
        <v/>
      </c>
      <c r="S261" s="48" t="n"/>
    </row>
    <row r="262" ht="22" customHeight="1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>
        <f>IF(A262="","",IF(Q262="Yes",5,0)+IF(I262="Critical",4,IF(I262="High",3,IF(I262="Medium",2,IF(I262="Low",1,0)))))</f>
        <v/>
      </c>
      <c r="S262" s="46" t="n"/>
    </row>
    <row r="263" ht="22" customHeight="1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>
        <f>IF(A263="","",IF(Q263="Yes",5,0)+IF(I263="Critical",4,IF(I263="High",3,IF(I263="Medium",2,IF(I263="Low",1,0)))))</f>
        <v/>
      </c>
      <c r="S263" s="48" t="n"/>
    </row>
    <row r="264" ht="22" customHeight="1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>
        <f>IF(A264="","",IF(Q264="Yes",5,0)+IF(I264="Critical",4,IF(I264="High",3,IF(I264="Medium",2,IF(I264="Low",1,0)))))</f>
        <v/>
      </c>
      <c r="S264" s="46" t="n"/>
    </row>
    <row r="265" ht="22" customHeight="1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>
        <f>IF(A265="","",IF(Q265="Yes",5,0)+IF(I265="Critical",4,IF(I265="High",3,IF(I265="Medium",2,IF(I265="Low",1,0)))))</f>
        <v/>
      </c>
      <c r="S265" s="48" t="n"/>
    </row>
    <row r="266" ht="22" customHeight="1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>
        <f>IF(A266="","",IF(Q266="Yes",5,0)+IF(I266="Critical",4,IF(I266="High",3,IF(I266="Medium",2,IF(I266="Low",1,0)))))</f>
        <v/>
      </c>
      <c r="S266" s="46" t="n"/>
    </row>
    <row r="267" ht="22" customHeight="1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>
        <f>IF(A267="","",IF(Q267="Yes",5,0)+IF(I267="Critical",4,IF(I267="High",3,IF(I267="Medium",2,IF(I267="Low",1,0)))))</f>
        <v/>
      </c>
      <c r="S267" s="48" t="n"/>
    </row>
    <row r="268" ht="22" customHeight="1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>
        <f>IF(A268="","",IF(Q268="Yes",5,0)+IF(I268="Critical",4,IF(I268="High",3,IF(I268="Medium",2,IF(I268="Low",1,0)))))</f>
        <v/>
      </c>
      <c r="S268" s="46" t="n"/>
    </row>
    <row r="269" ht="22" customHeight="1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>
        <f>IF(A269="","",IF(Q269="Yes",5,0)+IF(I269="Critical",4,IF(I269="High",3,IF(I269="Medium",2,IF(I269="Low",1,0)))))</f>
        <v/>
      </c>
      <c r="S269" s="48" t="n"/>
    </row>
    <row r="270" ht="22" customHeight="1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>
        <f>IF(A270="","",IF(Q270="Yes",5,0)+IF(I270="Critical",4,IF(I270="High",3,IF(I270="Medium",2,IF(I270="Low",1,0)))))</f>
        <v/>
      </c>
      <c r="S270" s="46" t="n"/>
    </row>
    <row r="271" ht="22" customHeight="1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>
        <f>IF(A271="","",IF(Q271="Yes",5,0)+IF(I271="Critical",4,IF(I271="High",3,IF(I271="Medium",2,IF(I271="Low",1,0)))))</f>
        <v/>
      </c>
      <c r="S271" s="48" t="n"/>
    </row>
    <row r="272" ht="22" customHeight="1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>
        <f>IF(A272="","",IF(Q272="Yes",5,0)+IF(I272="Critical",4,IF(I272="High",3,IF(I272="Medium",2,IF(I272="Low",1,0)))))</f>
        <v/>
      </c>
      <c r="S272" s="46" t="n"/>
    </row>
    <row r="273" ht="22" customHeight="1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>
        <f>IF(A273="","",IF(Q273="Yes",5,0)+IF(I273="Critical",4,IF(I273="High",3,IF(I273="Medium",2,IF(I273="Low",1,0)))))</f>
        <v/>
      </c>
      <c r="S273" s="48" t="n"/>
    </row>
    <row r="274" ht="22" customHeight="1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>
        <f>IF(A274="","",IF(Q274="Yes",5,0)+IF(I274="Critical",4,IF(I274="High",3,IF(I274="Medium",2,IF(I274="Low",1,0)))))</f>
        <v/>
      </c>
      <c r="S274" s="46" t="n"/>
    </row>
    <row r="275" ht="22" customHeight="1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>
        <f>IF(A275="","",IF(Q275="Yes",5,0)+IF(I275="Critical",4,IF(I275="High",3,IF(I275="Medium",2,IF(I275="Low",1,0)))))</f>
        <v/>
      </c>
      <c r="S275" s="48" t="n"/>
    </row>
    <row r="276" ht="22" customHeight="1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>
        <f>IF(A276="","",IF(Q276="Yes",5,0)+IF(I276="Critical",4,IF(I276="High",3,IF(I276="Medium",2,IF(I276="Low",1,0)))))</f>
        <v/>
      </c>
      <c r="S276" s="46" t="n"/>
    </row>
    <row r="277" ht="22" customHeight="1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>
        <f>IF(A277="","",IF(Q277="Yes",5,0)+IF(I277="Critical",4,IF(I277="High",3,IF(I277="Medium",2,IF(I277="Low",1,0)))))</f>
        <v/>
      </c>
      <c r="S277" s="48" t="n"/>
    </row>
    <row r="278" ht="22" customHeight="1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>
        <f>IF(A278="","",IF(Q278="Yes",5,0)+IF(I278="Critical",4,IF(I278="High",3,IF(I278="Medium",2,IF(I278="Low",1,0)))))</f>
        <v/>
      </c>
      <c r="S278" s="46" t="n"/>
    </row>
    <row r="279" ht="22" customHeight="1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>
        <f>IF(A279="","",IF(Q279="Yes",5,0)+IF(I279="Critical",4,IF(I279="High",3,IF(I279="Medium",2,IF(I279="Low",1,0)))))</f>
        <v/>
      </c>
      <c r="S279" s="48" t="n"/>
    </row>
    <row r="280" ht="22" customHeight="1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>
        <f>IF(A280="","",IF(Q280="Yes",5,0)+IF(I280="Critical",4,IF(I280="High",3,IF(I280="Medium",2,IF(I280="Low",1,0)))))</f>
        <v/>
      </c>
      <c r="S280" s="46" t="n"/>
    </row>
    <row r="281" ht="22" customHeight="1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>
        <f>IF(A281="","",IF(Q281="Yes",5,0)+IF(I281="Critical",4,IF(I281="High",3,IF(I281="Medium",2,IF(I281="Low",1,0)))))</f>
        <v/>
      </c>
      <c r="S281" s="48" t="n"/>
    </row>
    <row r="282" ht="22" customHeight="1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>
        <f>IF(A282="","",IF(Q282="Yes",5,0)+IF(I282="Critical",4,IF(I282="High",3,IF(I282="Medium",2,IF(I282="Low",1,0)))))</f>
        <v/>
      </c>
      <c r="S282" s="46" t="n"/>
    </row>
    <row r="283" ht="22" customHeight="1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>
        <f>IF(A283="","",IF(Q283="Yes",5,0)+IF(I283="Critical",4,IF(I283="High",3,IF(I283="Medium",2,IF(I283="Low",1,0)))))</f>
        <v/>
      </c>
      <c r="S283" s="48" t="n"/>
    </row>
    <row r="284" ht="22" customHeight="1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>
        <f>IF(A284="","",IF(Q284="Yes",5,0)+IF(I284="Critical",4,IF(I284="High",3,IF(I284="Medium",2,IF(I284="Low",1,0)))))</f>
        <v/>
      </c>
      <c r="S284" s="46" t="n"/>
    </row>
    <row r="285" ht="22" customHeight="1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>
        <f>IF(A285="","",IF(Q285="Yes",5,0)+IF(I285="Critical",4,IF(I285="High",3,IF(I285="Medium",2,IF(I285="Low",1,0)))))</f>
        <v/>
      </c>
      <c r="S285" s="48" t="n"/>
    </row>
    <row r="286" ht="22" customHeight="1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>
        <f>IF(A286="","",IF(Q286="Yes",5,0)+IF(I286="Critical",4,IF(I286="High",3,IF(I286="Medium",2,IF(I286="Low",1,0)))))</f>
        <v/>
      </c>
      <c r="S286" s="46" t="n"/>
    </row>
    <row r="287" ht="22" customHeight="1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>
        <f>IF(A287="","",IF(Q287="Yes",5,0)+IF(I287="Critical",4,IF(I287="High",3,IF(I287="Medium",2,IF(I287="Low",1,0)))))</f>
        <v/>
      </c>
      <c r="S287" s="48" t="n"/>
    </row>
    <row r="288" ht="22" customHeight="1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>
        <f>IF(A288="","",IF(Q288="Yes",5,0)+IF(I288="Critical",4,IF(I288="High",3,IF(I288="Medium",2,IF(I288="Low",1,0)))))</f>
        <v/>
      </c>
      <c r="S288" s="46" t="n"/>
    </row>
    <row r="289" ht="22" customHeight="1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>
        <f>IF(A289="","",IF(Q289="Yes",5,0)+IF(I289="Critical",4,IF(I289="High",3,IF(I289="Medium",2,IF(I289="Low",1,0)))))</f>
        <v/>
      </c>
      <c r="S289" s="48" t="n"/>
    </row>
    <row r="290" ht="22" customHeight="1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>
        <f>IF(A290="","",IF(Q290="Yes",5,0)+IF(I290="Critical",4,IF(I290="High",3,IF(I290="Medium",2,IF(I290="Low",1,0)))))</f>
        <v/>
      </c>
      <c r="S290" s="46" t="n"/>
    </row>
    <row r="291" ht="22" customHeight="1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>
        <f>IF(A291="","",IF(Q291="Yes",5,0)+IF(I291="Critical",4,IF(I291="High",3,IF(I291="Medium",2,IF(I291="Low",1,0)))))</f>
        <v/>
      </c>
      <c r="S291" s="48" t="n"/>
    </row>
    <row r="292" ht="22" customHeight="1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>
        <f>IF(A292="","",IF(Q292="Yes",5,0)+IF(I292="Critical",4,IF(I292="High",3,IF(I292="Medium",2,IF(I292="Low",1,0)))))</f>
        <v/>
      </c>
      <c r="S292" s="46" t="n"/>
    </row>
    <row r="293" ht="22" customHeight="1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>
        <f>IF(A293="","",IF(Q293="Yes",5,0)+IF(I293="Critical",4,IF(I293="High",3,IF(I293="Medium",2,IF(I293="Low",1,0)))))</f>
        <v/>
      </c>
      <c r="S293" s="48" t="n"/>
    </row>
    <row r="294" ht="22" customHeight="1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>
        <f>IF(A294="","",IF(Q294="Yes",5,0)+IF(I294="Critical",4,IF(I294="High",3,IF(I294="Medium",2,IF(I294="Low",1,0)))))</f>
        <v/>
      </c>
      <c r="S294" s="46" t="n"/>
    </row>
    <row r="295" ht="22" customHeight="1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>
        <f>IF(A295="","",IF(Q295="Yes",5,0)+IF(I295="Critical",4,IF(I295="High",3,IF(I295="Medium",2,IF(I295="Low",1,0)))))</f>
        <v/>
      </c>
      <c r="S295" s="48" t="n"/>
    </row>
    <row r="296" ht="22" customHeight="1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>
        <f>IF(A296="","",IF(Q296="Yes",5,0)+IF(I296="Critical",4,IF(I296="High",3,IF(I296="Medium",2,IF(I296="Low",1,0)))))</f>
        <v/>
      </c>
      <c r="S296" s="46" t="n"/>
    </row>
    <row r="297" ht="22" customHeight="1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>
        <f>IF(A297="","",IF(Q297="Yes",5,0)+IF(I297="Critical",4,IF(I297="High",3,IF(I297="Medium",2,IF(I297="Low",1,0)))))</f>
        <v/>
      </c>
      <c r="S297" s="48" t="n"/>
    </row>
    <row r="298" ht="22" customHeight="1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>
        <f>IF(A298="","",IF(Q298="Yes",5,0)+IF(I298="Critical",4,IF(I298="High",3,IF(I298="Medium",2,IF(I298="Low",1,0)))))</f>
        <v/>
      </c>
      <c r="S298" s="46" t="n"/>
    </row>
    <row r="299" ht="22" customHeight="1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>
        <f>IF(A299="","",IF(Q299="Yes",5,0)+IF(I299="Critical",4,IF(I299="High",3,IF(I299="Medium",2,IF(I299="Low",1,0)))))</f>
        <v/>
      </c>
      <c r="S299" s="48" t="n"/>
    </row>
    <row r="300" ht="22" customHeight="1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>
        <f>IF(A300="","",IF(Q300="Yes",5,0)+IF(I300="Critical",4,IF(I300="High",3,IF(I300="Medium",2,IF(I300="Low",1,0)))))</f>
        <v/>
      </c>
      <c r="S300" s="46" t="n"/>
    </row>
    <row r="301" ht="22" customHeight="1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>
        <f>IF(A301="","",IF(Q301="Yes",5,0)+IF(I301="Critical",4,IF(I301="High",3,IF(I301="Medium",2,IF(I301="Low",1,0)))))</f>
        <v/>
      </c>
      <c r="S301" s="48" t="n"/>
    </row>
    <row r="302" ht="22" customHeight="1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>
        <f>IF(A302="","",IF(Q302="Yes",5,0)+IF(I302="Critical",4,IF(I302="High",3,IF(I302="Medium",2,IF(I302="Low",1,0)))))</f>
        <v/>
      </c>
      <c r="S302" s="46" t="n"/>
    </row>
    <row r="303" ht="22" customHeight="1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>
        <f>IF(A303="","",IF(Q303="Yes",5,0)+IF(I303="Critical",4,IF(I303="High",3,IF(I303="Medium",2,IF(I303="Low",1,0)))))</f>
        <v/>
      </c>
      <c r="S303" s="48" t="n"/>
    </row>
    <row r="304" ht="22" customHeight="1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>
        <f>IF(A304="","",IF(Q304="Yes",5,0)+IF(I304="Critical",4,IF(I304="High",3,IF(I304="Medium",2,IF(I304="Low",1,0)))))</f>
        <v/>
      </c>
      <c r="S304" s="46" t="n"/>
    </row>
    <row r="305" ht="22" customHeight="1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>
        <f>IF(A305="","",IF(Q305="Yes",5,0)+IF(I305="Critical",4,IF(I305="High",3,IF(I305="Medium",2,IF(I305="Low",1,0)))))</f>
        <v/>
      </c>
      <c r="S305" s="48" t="n"/>
    </row>
    <row r="306" ht="22" customHeight="1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>
        <f>IF(A306="","",IF(Q306="Yes",5,0)+IF(I306="Critical",4,IF(I306="High",3,IF(I306="Medium",2,IF(I306="Low",1,0)))))</f>
        <v/>
      </c>
      <c r="S306" s="46" t="n"/>
    </row>
    <row r="307" ht="22" customHeight="1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>
        <f>IF(A307="","",IF(Q307="Yes",5,0)+IF(I307="Critical",4,IF(I307="High",3,IF(I307="Medium",2,IF(I307="Low",1,0)))))</f>
        <v/>
      </c>
      <c r="S307" s="48" t="n"/>
    </row>
    <row r="308" ht="22" customHeight="1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>
        <f>IF(A308="","",IF(Q308="Yes",5,0)+IF(I308="Critical",4,IF(I308="High",3,IF(I308="Medium",2,IF(I308="Low",1,0)))))</f>
        <v/>
      </c>
      <c r="S308" s="46" t="n"/>
    </row>
    <row r="309" ht="22" customHeight="1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>
        <f>IF(A309="","",IF(Q309="Yes",5,0)+IF(I309="Critical",4,IF(I309="High",3,IF(I309="Medium",2,IF(I309="Low",1,0)))))</f>
        <v/>
      </c>
      <c r="S309" s="48" t="n"/>
    </row>
    <row r="310" ht="22" customHeight="1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>
        <f>IF(A310="","",IF(Q310="Yes",5,0)+IF(I310="Critical",4,IF(I310="High",3,IF(I310="Medium",2,IF(I310="Low",1,0)))))</f>
        <v/>
      </c>
      <c r="S310" s="46" t="n"/>
    </row>
    <row r="311" ht="22" customHeight="1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>
        <f>IF(A311="","",IF(Q311="Yes",5,0)+IF(I311="Critical",4,IF(I311="High",3,IF(I311="Medium",2,IF(I311="Low",1,0)))))</f>
        <v/>
      </c>
      <c r="S311" s="48" t="n"/>
    </row>
    <row r="312" ht="22" customHeight="1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>
        <f>IF(A312="","",IF(Q312="Yes",5,0)+IF(I312="Critical",4,IF(I312="High",3,IF(I312="Medium",2,IF(I312="Low",1,0)))))</f>
        <v/>
      </c>
      <c r="S312" s="46" t="n"/>
    </row>
    <row r="313" ht="22" customHeight="1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>
        <f>IF(A313="","",IF(Q313="Yes",5,0)+IF(I313="Critical",4,IF(I313="High",3,IF(I313="Medium",2,IF(I313="Low",1,0)))))</f>
        <v/>
      </c>
      <c r="S313" s="48" t="n"/>
    </row>
    <row r="314" ht="22" customHeight="1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>
        <f>IF(A314="","",IF(Q314="Yes",5,0)+IF(I314="Critical",4,IF(I314="High",3,IF(I314="Medium",2,IF(I314="Low",1,0)))))</f>
        <v/>
      </c>
      <c r="S314" s="46" t="n"/>
    </row>
    <row r="315" ht="22" customHeight="1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>
        <f>IF(A315="","",IF(Q315="Yes",5,0)+IF(I315="Critical",4,IF(I315="High",3,IF(I315="Medium",2,IF(I315="Low",1,0)))))</f>
        <v/>
      </c>
      <c r="S315" s="48" t="n"/>
    </row>
    <row r="316" ht="22" customHeight="1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>
        <f>IF(A316="","",IF(Q316="Yes",5,0)+IF(I316="Critical",4,IF(I316="High",3,IF(I316="Medium",2,IF(I316="Low",1,0)))))</f>
        <v/>
      </c>
      <c r="S316" s="46" t="n"/>
    </row>
    <row r="317" ht="22" customHeight="1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>
        <f>IF(A317="","",IF(Q317="Yes",5,0)+IF(I317="Critical",4,IF(I317="High",3,IF(I317="Medium",2,IF(I317="Low",1,0)))))</f>
        <v/>
      </c>
      <c r="S317" s="48" t="n"/>
    </row>
    <row r="318" ht="22" customHeight="1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>
        <f>IF(A318="","",IF(Q318="Yes",5,0)+IF(I318="Critical",4,IF(I318="High",3,IF(I318="Medium",2,IF(I318="Low",1,0)))))</f>
        <v/>
      </c>
      <c r="S318" s="46" t="n"/>
    </row>
    <row r="319" ht="22" customHeight="1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>
        <f>IF(A319="","",IF(Q319="Yes",5,0)+IF(I319="Critical",4,IF(I319="High",3,IF(I319="Medium",2,IF(I319="Low",1,0)))))</f>
        <v/>
      </c>
      <c r="S319" s="48" t="n"/>
    </row>
    <row r="320" ht="22" customHeight="1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>
        <f>IF(A320="","",IF(Q320="Yes",5,0)+IF(I320="Critical",4,IF(I320="High",3,IF(I320="Medium",2,IF(I320="Low",1,0)))))</f>
        <v/>
      </c>
      <c r="S320" s="46" t="n"/>
    </row>
    <row r="321" ht="22" customHeight="1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>
        <f>IF(A321="","",IF(Q321="Yes",5,0)+IF(I321="Critical",4,IF(I321="High",3,IF(I321="Medium",2,IF(I321="Low",1,0)))))</f>
        <v/>
      </c>
      <c r="S321" s="48" t="n"/>
    </row>
    <row r="322" ht="22" customHeight="1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>
        <f>IF(A322="","",IF(Q322="Yes",5,0)+IF(I322="Critical",4,IF(I322="High",3,IF(I322="Medium",2,IF(I322="Low",1,0)))))</f>
        <v/>
      </c>
      <c r="S322" s="46" t="n"/>
    </row>
    <row r="323" ht="22" customHeight="1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>
        <f>IF(A323="","",IF(Q323="Yes",5,0)+IF(I323="Critical",4,IF(I323="High",3,IF(I323="Medium",2,IF(I323="Low",1,0)))))</f>
        <v/>
      </c>
      <c r="S323" s="48" t="n"/>
    </row>
    <row r="324" ht="22" customHeight="1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>
        <f>IF(A324="","",IF(Q324="Yes",5,0)+IF(I324="Critical",4,IF(I324="High",3,IF(I324="Medium",2,IF(I324="Low",1,0)))))</f>
        <v/>
      </c>
      <c r="S324" s="46" t="n"/>
    </row>
    <row r="325" ht="22" customHeight="1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>
        <f>IF(A325="","",IF(Q325="Yes",5,0)+IF(I325="Critical",4,IF(I325="High",3,IF(I325="Medium",2,IF(I325="Low",1,0)))))</f>
        <v/>
      </c>
      <c r="S325" s="48" t="n"/>
    </row>
    <row r="326" ht="22" customHeight="1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>
        <f>IF(A326="","",IF(Q326="Yes",5,0)+IF(I326="Critical",4,IF(I326="High",3,IF(I326="Medium",2,IF(I326="Low",1,0)))))</f>
        <v/>
      </c>
      <c r="S326" s="46" t="n"/>
    </row>
    <row r="327" ht="22" customHeight="1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>
        <f>IF(A327="","",IF(Q327="Yes",5,0)+IF(I327="Critical",4,IF(I327="High",3,IF(I327="Medium",2,IF(I327="Low",1,0)))))</f>
        <v/>
      </c>
      <c r="S327" s="48" t="n"/>
    </row>
    <row r="328" ht="22" customHeight="1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>
        <f>IF(A328="","",IF(Q328="Yes",5,0)+IF(I328="Critical",4,IF(I328="High",3,IF(I328="Medium",2,IF(I328="Low",1,0)))))</f>
        <v/>
      </c>
      <c r="S328" s="46" t="n"/>
    </row>
    <row r="329" ht="22" customHeight="1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>
        <f>IF(A329="","",IF(Q329="Yes",5,0)+IF(I329="Critical",4,IF(I329="High",3,IF(I329="Medium",2,IF(I329="Low",1,0)))))</f>
        <v/>
      </c>
      <c r="S329" s="48" t="n"/>
    </row>
    <row r="330" ht="22" customHeight="1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>
        <f>IF(A330="","",IF(Q330="Yes",5,0)+IF(I330="Critical",4,IF(I330="High",3,IF(I330="Medium",2,IF(I330="Low",1,0)))))</f>
        <v/>
      </c>
      <c r="S330" s="46" t="n"/>
    </row>
    <row r="331" ht="22" customHeight="1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>
        <f>IF(A331="","",IF(Q331="Yes",5,0)+IF(I331="Critical",4,IF(I331="High",3,IF(I331="Medium",2,IF(I331="Low",1,0)))))</f>
        <v/>
      </c>
      <c r="S331" s="48" t="n"/>
    </row>
    <row r="332" ht="22" customHeight="1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>
        <f>IF(A332="","",IF(Q332="Yes",5,0)+IF(I332="Critical",4,IF(I332="High",3,IF(I332="Medium",2,IF(I332="Low",1,0)))))</f>
        <v/>
      </c>
      <c r="S332" s="46" t="n"/>
    </row>
    <row r="333" ht="22" customHeight="1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>
        <f>IF(A333="","",IF(Q333="Yes",5,0)+IF(I333="Critical",4,IF(I333="High",3,IF(I333="Medium",2,IF(I333="Low",1,0)))))</f>
        <v/>
      </c>
      <c r="S333" s="48" t="n"/>
    </row>
    <row r="334" ht="22" customHeight="1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>
        <f>IF(A334="","",IF(Q334="Yes",5,0)+IF(I334="Critical",4,IF(I334="High",3,IF(I334="Medium",2,IF(I334="Low",1,0)))))</f>
        <v/>
      </c>
      <c r="S334" s="46" t="n"/>
    </row>
    <row r="335" ht="22" customHeight="1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>
        <f>IF(A335="","",IF(Q335="Yes",5,0)+IF(I335="Critical",4,IF(I335="High",3,IF(I335="Medium",2,IF(I335="Low",1,0)))))</f>
        <v/>
      </c>
      <c r="S335" s="48" t="n"/>
    </row>
    <row r="336" ht="22" customHeight="1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>
        <f>IF(A336="","",IF(Q336="Yes",5,0)+IF(I336="Critical",4,IF(I336="High",3,IF(I336="Medium",2,IF(I336="Low",1,0)))))</f>
        <v/>
      </c>
      <c r="S336" s="46" t="n"/>
    </row>
    <row r="337" ht="22" customHeight="1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>
        <f>IF(A337="","",IF(Q337="Yes",5,0)+IF(I337="Critical",4,IF(I337="High",3,IF(I337="Medium",2,IF(I337="Low",1,0)))))</f>
        <v/>
      </c>
      <c r="S337" s="48" t="n"/>
    </row>
    <row r="338" ht="22" customHeight="1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>
        <f>IF(A338="","",IF(Q338="Yes",5,0)+IF(I338="Critical",4,IF(I338="High",3,IF(I338="Medium",2,IF(I338="Low",1,0)))))</f>
        <v/>
      </c>
      <c r="S338" s="46" t="n"/>
    </row>
    <row r="339" ht="22" customHeight="1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>
        <f>IF(A339="","",IF(Q339="Yes",5,0)+IF(I339="Critical",4,IF(I339="High",3,IF(I339="Medium",2,IF(I339="Low",1,0)))))</f>
        <v/>
      </c>
      <c r="S339" s="48" t="n"/>
    </row>
    <row r="340" ht="22" customHeight="1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>
        <f>IF(A340="","",IF(Q340="Yes",5,0)+IF(I340="Critical",4,IF(I340="High",3,IF(I340="Medium",2,IF(I340="Low",1,0)))))</f>
        <v/>
      </c>
      <c r="S340" s="46" t="n"/>
    </row>
    <row r="341" ht="22" customHeight="1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>
        <f>IF(A341="","",IF(Q341="Yes",5,0)+IF(I341="Critical",4,IF(I341="High",3,IF(I341="Medium",2,IF(I341="Low",1,0)))))</f>
        <v/>
      </c>
      <c r="S341" s="48" t="n"/>
    </row>
    <row r="342" ht="22" customHeight="1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>
        <f>IF(A342="","",IF(Q342="Yes",5,0)+IF(I342="Critical",4,IF(I342="High",3,IF(I342="Medium",2,IF(I342="Low",1,0)))))</f>
        <v/>
      </c>
      <c r="S342" s="46" t="n"/>
    </row>
    <row r="343" ht="22" customHeight="1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>
        <f>IF(A343="","",IF(Q343="Yes",5,0)+IF(I343="Critical",4,IF(I343="High",3,IF(I343="Medium",2,IF(I343="Low",1,0)))))</f>
        <v/>
      </c>
      <c r="S343" s="48" t="n"/>
    </row>
    <row r="344" ht="22" customHeight="1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>
        <f>IF(A344="","",IF(Q344="Yes",5,0)+IF(I344="Critical",4,IF(I344="High",3,IF(I344="Medium",2,IF(I344="Low",1,0)))))</f>
        <v/>
      </c>
      <c r="S344" s="46" t="n"/>
    </row>
    <row r="345" ht="22" customHeight="1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>
        <f>IF(A345="","",IF(Q345="Yes",5,0)+IF(I345="Critical",4,IF(I345="High",3,IF(I345="Medium",2,IF(I345="Low",1,0)))))</f>
        <v/>
      </c>
      <c r="S345" s="48" t="n"/>
    </row>
    <row r="346" ht="22" customHeight="1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>
        <f>IF(A346="","",IF(Q346="Yes",5,0)+IF(I346="Critical",4,IF(I346="High",3,IF(I346="Medium",2,IF(I346="Low",1,0)))))</f>
        <v/>
      </c>
      <c r="S346" s="46" t="n"/>
    </row>
    <row r="347" ht="22" customHeight="1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>
        <f>IF(A347="","",IF(Q347="Yes",5,0)+IF(I347="Critical",4,IF(I347="High",3,IF(I347="Medium",2,IF(I347="Low",1,0)))))</f>
        <v/>
      </c>
      <c r="S347" s="48" t="n"/>
    </row>
    <row r="348" ht="22" customHeight="1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>
        <f>IF(A348="","",IF(Q348="Yes",5,0)+IF(I348="Critical",4,IF(I348="High",3,IF(I348="Medium",2,IF(I348="Low",1,0)))))</f>
        <v/>
      </c>
      <c r="S348" s="46" t="n"/>
    </row>
    <row r="349" ht="22" customHeight="1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>
        <f>IF(A349="","",IF(Q349="Yes",5,0)+IF(I349="Critical",4,IF(I349="High",3,IF(I349="Medium",2,IF(I349="Low",1,0)))))</f>
        <v/>
      </c>
      <c r="S349" s="48" t="n"/>
    </row>
    <row r="350" ht="22" customHeight="1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>
        <f>IF(A350="","",IF(Q350="Yes",5,0)+IF(I350="Critical",4,IF(I350="High",3,IF(I350="Medium",2,IF(I350="Low",1,0)))))</f>
        <v/>
      </c>
      <c r="S350" s="46" t="n"/>
    </row>
    <row r="351" ht="22" customHeight="1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>
        <f>IF(A351="","",IF(Q351="Yes",5,0)+IF(I351="Critical",4,IF(I351="High",3,IF(I351="Medium",2,IF(I351="Low",1,0)))))</f>
        <v/>
      </c>
      <c r="S351" s="48" t="n"/>
    </row>
    <row r="352" ht="22" customHeight="1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>
        <f>IF(A352="","",IF(Q352="Yes",5,0)+IF(I352="Critical",4,IF(I352="High",3,IF(I352="Medium",2,IF(I352="Low",1,0)))))</f>
        <v/>
      </c>
      <c r="S352" s="46" t="n"/>
    </row>
    <row r="353" ht="22" customHeight="1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>
        <f>IF(A353="","",IF(Q353="Yes",5,0)+IF(I353="Critical",4,IF(I353="High",3,IF(I353="Medium",2,IF(I353="Low",1,0)))))</f>
        <v/>
      </c>
      <c r="S353" s="48" t="n"/>
    </row>
    <row r="354" ht="22" customHeight="1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>
        <f>IF(A354="","",IF(Q354="Yes",5,0)+IF(I354="Critical",4,IF(I354="High",3,IF(I354="Medium",2,IF(I354="Low",1,0)))))</f>
        <v/>
      </c>
      <c r="S354" s="46" t="n"/>
    </row>
    <row r="355" ht="22" customHeight="1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>
        <f>IF(A355="","",IF(Q355="Yes",5,0)+IF(I355="Critical",4,IF(I355="High",3,IF(I355="Medium",2,IF(I355="Low",1,0)))))</f>
        <v/>
      </c>
      <c r="S355" s="48" t="n"/>
    </row>
    <row r="356" ht="22" customHeight="1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>
        <f>IF(A356="","",IF(Q356="Yes",5,0)+IF(I356="Critical",4,IF(I356="High",3,IF(I356="Medium",2,IF(I356="Low",1,0)))))</f>
        <v/>
      </c>
      <c r="S356" s="46" t="n"/>
    </row>
    <row r="357" ht="22" customHeight="1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>
        <f>IF(A357="","",IF(Q357="Yes",5,0)+IF(I357="Critical",4,IF(I357="High",3,IF(I357="Medium",2,IF(I357="Low",1,0)))))</f>
        <v/>
      </c>
      <c r="S357" s="48" t="n"/>
    </row>
    <row r="358" ht="22" customHeight="1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>
        <f>IF(A358="","",IF(Q358="Yes",5,0)+IF(I358="Critical",4,IF(I358="High",3,IF(I358="Medium",2,IF(I358="Low",1,0)))))</f>
        <v/>
      </c>
      <c r="S358" s="46" t="n"/>
    </row>
    <row r="359" ht="22" customHeight="1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>
        <f>IF(A359="","",IF(Q359="Yes",5,0)+IF(I359="Critical",4,IF(I359="High",3,IF(I359="Medium",2,IF(I359="Low",1,0)))))</f>
        <v/>
      </c>
      <c r="S359" s="48" t="n"/>
    </row>
    <row r="360" ht="22" customHeight="1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>
        <f>IF(A360="","",IF(Q360="Yes",5,0)+IF(I360="Critical",4,IF(I360="High",3,IF(I360="Medium",2,IF(I360="Low",1,0)))))</f>
        <v/>
      </c>
      <c r="S360" s="46" t="n"/>
    </row>
    <row r="361" ht="22" customHeight="1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>
        <f>IF(A361="","",IF(Q361="Yes",5,0)+IF(I361="Critical",4,IF(I361="High",3,IF(I361="Medium",2,IF(I361="Low",1,0)))))</f>
        <v/>
      </c>
      <c r="S361" s="48" t="n"/>
    </row>
    <row r="362" ht="22" customHeight="1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>
        <f>IF(A362="","",IF(Q362="Yes",5,0)+IF(I362="Critical",4,IF(I362="High",3,IF(I362="Medium",2,IF(I362="Low",1,0)))))</f>
        <v/>
      </c>
      <c r="S362" s="46" t="n"/>
    </row>
    <row r="363" ht="22" customHeight="1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>
        <f>IF(A363="","",IF(Q363="Yes",5,0)+IF(I363="Critical",4,IF(I363="High",3,IF(I363="Medium",2,IF(I363="Low",1,0)))))</f>
        <v/>
      </c>
      <c r="S363" s="48" t="n"/>
    </row>
    <row r="364" ht="22" customHeight="1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>
        <f>IF(A364="","",IF(Q364="Yes",5,0)+IF(I364="Critical",4,IF(I364="High",3,IF(I364="Medium",2,IF(I364="Low",1,0)))))</f>
        <v/>
      </c>
      <c r="S364" s="46" t="n"/>
    </row>
    <row r="365" ht="22" customHeight="1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>
        <f>IF(A365="","",IF(Q365="Yes",5,0)+IF(I365="Critical",4,IF(I365="High",3,IF(I365="Medium",2,IF(I365="Low",1,0)))))</f>
        <v/>
      </c>
      <c r="S365" s="48" t="n"/>
    </row>
    <row r="366" ht="22" customHeight="1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>
        <f>IF(A366="","",IF(Q366="Yes",5,0)+IF(I366="Critical",4,IF(I366="High",3,IF(I366="Medium",2,IF(I366="Low",1,0)))))</f>
        <v/>
      </c>
      <c r="S366" s="46" t="n"/>
    </row>
    <row r="367" ht="22" customHeight="1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>
        <f>IF(A367="","",IF(Q367="Yes",5,0)+IF(I367="Critical",4,IF(I367="High",3,IF(I367="Medium",2,IF(I367="Low",1,0)))))</f>
        <v/>
      </c>
      <c r="S367" s="48" t="n"/>
    </row>
    <row r="368" ht="22" customHeight="1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>
        <f>IF(A368="","",IF(Q368="Yes",5,0)+IF(I368="Critical",4,IF(I368="High",3,IF(I368="Medium",2,IF(I368="Low",1,0)))))</f>
        <v/>
      </c>
      <c r="S368" s="46" t="n"/>
    </row>
    <row r="369" ht="22" customHeight="1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>
        <f>IF(A369="","",IF(Q369="Yes",5,0)+IF(I369="Critical",4,IF(I369="High",3,IF(I369="Medium",2,IF(I369="Low",1,0)))))</f>
        <v/>
      </c>
      <c r="S369" s="48" t="n"/>
    </row>
    <row r="370" ht="22" customHeight="1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>
        <f>IF(A370="","",IF(Q370="Yes",5,0)+IF(I370="Critical",4,IF(I370="High",3,IF(I370="Medium",2,IF(I370="Low",1,0)))))</f>
        <v/>
      </c>
      <c r="S370" s="46" t="n"/>
    </row>
    <row r="371" ht="22" customHeight="1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>
        <f>IF(A371="","",IF(Q371="Yes",5,0)+IF(I371="Critical",4,IF(I371="High",3,IF(I371="Medium",2,IF(I371="Low",1,0)))))</f>
        <v/>
      </c>
      <c r="S371" s="48" t="n"/>
    </row>
    <row r="372" ht="22" customHeight="1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>
        <f>IF(A372="","",IF(Q372="Yes",5,0)+IF(I372="Critical",4,IF(I372="High",3,IF(I372="Medium",2,IF(I372="Low",1,0)))))</f>
        <v/>
      </c>
      <c r="S372" s="46" t="n"/>
    </row>
    <row r="373" ht="22" customHeight="1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>
        <f>IF(A373="","",IF(Q373="Yes",5,0)+IF(I373="Critical",4,IF(I373="High",3,IF(I373="Medium",2,IF(I373="Low",1,0)))))</f>
        <v/>
      </c>
      <c r="S373" s="48" t="n"/>
    </row>
    <row r="374" ht="22" customHeight="1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>
        <f>IF(A374="","",IF(Q374="Yes",5,0)+IF(I374="Critical",4,IF(I374="High",3,IF(I374="Medium",2,IF(I374="Low",1,0)))))</f>
        <v/>
      </c>
      <c r="S374" s="46" t="n"/>
    </row>
    <row r="375" ht="22" customHeight="1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>
        <f>IF(A375="","",IF(Q375="Yes",5,0)+IF(I375="Critical",4,IF(I375="High",3,IF(I375="Medium",2,IF(I375="Low",1,0)))))</f>
        <v/>
      </c>
      <c r="S375" s="48" t="n"/>
    </row>
    <row r="376" ht="22" customHeight="1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>
        <f>IF(A376="","",IF(Q376="Yes",5,0)+IF(I376="Critical",4,IF(I376="High",3,IF(I376="Medium",2,IF(I376="Low",1,0)))))</f>
        <v/>
      </c>
      <c r="S376" s="46" t="n"/>
    </row>
    <row r="377" ht="22" customHeight="1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>
        <f>IF(A377="","",IF(Q377="Yes",5,0)+IF(I377="Critical",4,IF(I377="High",3,IF(I377="Medium",2,IF(I377="Low",1,0)))))</f>
        <v/>
      </c>
      <c r="S377" s="48" t="n"/>
    </row>
    <row r="378" ht="22" customHeight="1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>
        <f>IF(A378="","",IF(Q378="Yes",5,0)+IF(I378="Critical",4,IF(I378="High",3,IF(I378="Medium",2,IF(I378="Low",1,0)))))</f>
        <v/>
      </c>
      <c r="S378" s="46" t="n"/>
    </row>
    <row r="379" ht="22" customHeight="1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>
        <f>IF(A379="","",IF(Q379="Yes",5,0)+IF(I379="Critical",4,IF(I379="High",3,IF(I379="Medium",2,IF(I379="Low",1,0)))))</f>
        <v/>
      </c>
      <c r="S379" s="48" t="n"/>
    </row>
    <row r="380" ht="22" customHeight="1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>
        <f>IF(A380="","",IF(Q380="Yes",5,0)+IF(I380="Critical",4,IF(I380="High",3,IF(I380="Medium",2,IF(I380="Low",1,0)))))</f>
        <v/>
      </c>
      <c r="S380" s="46" t="n"/>
    </row>
    <row r="381" ht="22" customHeight="1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>
        <f>IF(A381="","",IF(Q381="Yes",5,0)+IF(I381="Critical",4,IF(I381="High",3,IF(I381="Medium",2,IF(I381="Low",1,0)))))</f>
        <v/>
      </c>
      <c r="S381" s="48" t="n"/>
    </row>
    <row r="382" ht="22" customHeight="1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>
        <f>IF(A382="","",IF(Q382="Yes",5,0)+IF(I382="Critical",4,IF(I382="High",3,IF(I382="Medium",2,IF(I382="Low",1,0)))))</f>
        <v/>
      </c>
      <c r="S382" s="46" t="n"/>
    </row>
    <row r="383" ht="22" customHeight="1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>
        <f>IF(A383="","",IF(Q383="Yes",5,0)+IF(I383="Critical",4,IF(I383="High",3,IF(I383="Medium",2,IF(I383="Low",1,0)))))</f>
        <v/>
      </c>
      <c r="S383" s="48" t="n"/>
    </row>
    <row r="384" ht="22" customHeight="1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>
        <f>IF(A384="","",IF(Q384="Yes",5,0)+IF(I384="Critical",4,IF(I384="High",3,IF(I384="Medium",2,IF(I384="Low",1,0)))))</f>
        <v/>
      </c>
      <c r="S384" s="46" t="n"/>
    </row>
    <row r="385" ht="22" customHeight="1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>
        <f>IF(A385="","",IF(Q385="Yes",5,0)+IF(I385="Critical",4,IF(I385="High",3,IF(I385="Medium",2,IF(I385="Low",1,0)))))</f>
        <v/>
      </c>
      <c r="S385" s="48" t="n"/>
    </row>
    <row r="386" ht="22" customHeight="1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>
        <f>IF(A386="","",IF(Q386="Yes",5,0)+IF(I386="Critical",4,IF(I386="High",3,IF(I386="Medium",2,IF(I386="Low",1,0)))))</f>
        <v/>
      </c>
      <c r="S386" s="46" t="n"/>
    </row>
    <row r="387" ht="22" customHeight="1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>
        <f>IF(A387="","",IF(Q387="Yes",5,0)+IF(I387="Critical",4,IF(I387="High",3,IF(I387="Medium",2,IF(I387="Low",1,0)))))</f>
        <v/>
      </c>
      <c r="S387" s="48" t="n"/>
    </row>
    <row r="388" ht="22" customHeight="1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>
        <f>IF(A388="","",IF(Q388="Yes",5,0)+IF(I388="Critical",4,IF(I388="High",3,IF(I388="Medium",2,IF(I388="Low",1,0)))))</f>
        <v/>
      </c>
      <c r="S388" s="46" t="n"/>
    </row>
    <row r="389" ht="22" customHeight="1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>
        <f>IF(A389="","",IF(Q389="Yes",5,0)+IF(I389="Critical",4,IF(I389="High",3,IF(I389="Medium",2,IF(I389="Low",1,0)))))</f>
        <v/>
      </c>
      <c r="S389" s="48" t="n"/>
    </row>
    <row r="390" ht="22" customHeight="1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>
        <f>IF(A390="","",IF(Q390="Yes",5,0)+IF(I390="Critical",4,IF(I390="High",3,IF(I390="Medium",2,IF(I390="Low",1,0)))))</f>
        <v/>
      </c>
      <c r="S390" s="46" t="n"/>
    </row>
    <row r="391" ht="22" customHeight="1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>
        <f>IF(A391="","",IF(Q391="Yes",5,0)+IF(I391="Critical",4,IF(I391="High",3,IF(I391="Medium",2,IF(I391="Low",1,0)))))</f>
        <v/>
      </c>
      <c r="S391" s="48" t="n"/>
    </row>
    <row r="392" ht="22" customHeight="1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>
        <f>IF(A392="","",IF(Q392="Yes",5,0)+IF(I392="Critical",4,IF(I392="High",3,IF(I392="Medium",2,IF(I392="Low",1,0)))))</f>
        <v/>
      </c>
      <c r="S392" s="46" t="n"/>
    </row>
    <row r="393" ht="22" customHeight="1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>
        <f>IF(A393="","",IF(Q393="Yes",5,0)+IF(I393="Critical",4,IF(I393="High",3,IF(I393="Medium",2,IF(I393="Low",1,0)))))</f>
        <v/>
      </c>
      <c r="S393" s="48" t="n"/>
    </row>
    <row r="394" ht="22" customHeight="1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>
        <f>IF(A394="","",IF(Q394="Yes",5,0)+IF(I394="Critical",4,IF(I394="High",3,IF(I394="Medium",2,IF(I394="Low",1,0)))))</f>
        <v/>
      </c>
      <c r="S394" s="46" t="n"/>
    </row>
    <row r="395" ht="22" customHeight="1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>
        <f>IF(A395="","",IF(Q395="Yes",5,0)+IF(I395="Critical",4,IF(I395="High",3,IF(I395="Medium",2,IF(I395="Low",1,0)))))</f>
        <v/>
      </c>
      <c r="S395" s="48" t="n"/>
    </row>
    <row r="396" ht="22" customHeight="1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>
        <f>IF(A396="","",IF(Q396="Yes",5,0)+IF(I396="Critical",4,IF(I396="High",3,IF(I396="Medium",2,IF(I396="Low",1,0)))))</f>
        <v/>
      </c>
      <c r="S396" s="46" t="n"/>
    </row>
    <row r="397" ht="22" customHeight="1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>
        <f>IF(A397="","",IF(Q397="Yes",5,0)+IF(I397="Critical",4,IF(I397="High",3,IF(I397="Medium",2,IF(I397="Low",1,0)))))</f>
        <v/>
      </c>
      <c r="S397" s="48" t="n"/>
    </row>
    <row r="398" ht="22" customHeight="1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>
        <f>IF(A398="","",IF(Q398="Yes",5,0)+IF(I398="Critical",4,IF(I398="High",3,IF(I398="Medium",2,IF(I398="Low",1,0)))))</f>
        <v/>
      </c>
      <c r="S398" s="46" t="n"/>
    </row>
    <row r="399" ht="22" customHeight="1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>
        <f>IF(A399="","",IF(Q399="Yes",5,0)+IF(I399="Critical",4,IF(I399="High",3,IF(I399="Medium",2,IF(I399="Low",1,0)))))</f>
        <v/>
      </c>
      <c r="S399" s="48" t="n"/>
    </row>
    <row r="400" ht="22" customHeight="1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>
        <f>IF(A400="","",IF(Q400="Yes",5,0)+IF(I400="Critical",4,IF(I400="High",3,IF(I400="Medium",2,IF(I400="Low",1,0)))))</f>
        <v/>
      </c>
      <c r="S400" s="46" t="n"/>
    </row>
    <row r="401" ht="22" customHeight="1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>
        <f>IF(A401="","",IF(Q401="Yes",5,0)+IF(I401="Critical",4,IF(I401="High",3,IF(I401="Medium",2,IF(I401="Low",1,0)))))</f>
        <v/>
      </c>
      <c r="S401" s="48" t="n"/>
    </row>
    <row r="402" ht="22" customHeight="1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>
        <f>IF(A402="","",IF(Q402="Yes",5,0)+IF(I402="Critical",4,IF(I402="High",3,IF(I402="Medium",2,IF(I402="Low",1,0)))))</f>
        <v/>
      </c>
      <c r="S402" s="46" t="n"/>
    </row>
    <row r="403" ht="22" customHeight="1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>
        <f>IF(A403="","",IF(Q403="Yes",5,0)+IF(I403="Critical",4,IF(I403="High",3,IF(I403="Medium",2,IF(I403="Low",1,0)))))</f>
        <v/>
      </c>
      <c r="S403" s="48" t="n"/>
    </row>
    <row r="404" ht="22" customHeight="1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>
        <f>IF(A404="","",IF(Q404="Yes",5,0)+IF(I404="Critical",4,IF(I404="High",3,IF(I404="Medium",2,IF(I404="Low",1,0)))))</f>
        <v/>
      </c>
      <c r="S404" s="46" t="n"/>
    </row>
    <row r="405" ht="22" customHeight="1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>
        <f>IF(A405="","",IF(Q405="Yes",5,0)+IF(I405="Critical",4,IF(I405="High",3,IF(I405="Medium",2,IF(I405="Low",1,0)))))</f>
        <v/>
      </c>
      <c r="S405" s="48" t="n"/>
    </row>
    <row r="406" ht="22" customHeight="1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>
        <f>IF(A406="","",IF(Q406="Yes",5,0)+IF(I406="Critical",4,IF(I406="High",3,IF(I406="Medium",2,IF(I406="Low",1,0)))))</f>
        <v/>
      </c>
      <c r="S406" s="46" t="n"/>
    </row>
    <row r="407" ht="22" customHeight="1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>
        <f>IF(A407="","",IF(Q407="Yes",5,0)+IF(I407="Critical",4,IF(I407="High",3,IF(I407="Medium",2,IF(I407="Low",1,0)))))</f>
        <v/>
      </c>
      <c r="S407" s="48" t="n"/>
    </row>
    <row r="408" ht="22" customHeight="1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>
        <f>IF(A408="","",IF(Q408="Yes",5,0)+IF(I408="Critical",4,IF(I408="High",3,IF(I408="Medium",2,IF(I408="Low",1,0)))))</f>
        <v/>
      </c>
      <c r="S408" s="46" t="n"/>
    </row>
    <row r="409" ht="22" customHeight="1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>
        <f>IF(A409="","",IF(Q409="Yes",5,0)+IF(I409="Critical",4,IF(I409="High",3,IF(I409="Medium",2,IF(I409="Low",1,0)))))</f>
        <v/>
      </c>
      <c r="S409" s="48" t="n"/>
    </row>
    <row r="410" ht="22" customHeight="1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>
        <f>IF(A410="","",IF(Q410="Yes",5,0)+IF(I410="Critical",4,IF(I410="High",3,IF(I410="Medium",2,IF(I410="Low",1,0)))))</f>
        <v/>
      </c>
      <c r="S410" s="46" t="n"/>
    </row>
    <row r="411" ht="22" customHeight="1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>
        <f>IF(A411="","",IF(Q411="Yes",5,0)+IF(I411="Critical",4,IF(I411="High",3,IF(I411="Medium",2,IF(I411="Low",1,0)))))</f>
        <v/>
      </c>
      <c r="S411" s="48" t="n"/>
    </row>
    <row r="412" ht="22" customHeight="1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>
        <f>IF(A412="","",IF(Q412="Yes",5,0)+IF(I412="Critical",4,IF(I412="High",3,IF(I412="Medium",2,IF(I412="Low",1,0)))))</f>
        <v/>
      </c>
      <c r="S412" s="46" t="n"/>
    </row>
    <row r="413" ht="22" customHeight="1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>
        <f>IF(A413="","",IF(Q413="Yes",5,0)+IF(I413="Critical",4,IF(I413="High",3,IF(I413="Medium",2,IF(I413="Low",1,0)))))</f>
        <v/>
      </c>
      <c r="S413" s="48" t="n"/>
    </row>
    <row r="414" ht="22" customHeight="1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>
        <f>IF(A414="","",IF(Q414="Yes",5,0)+IF(I414="Critical",4,IF(I414="High",3,IF(I414="Medium",2,IF(I414="Low",1,0)))))</f>
        <v/>
      </c>
      <c r="S414" s="46" t="n"/>
    </row>
    <row r="415" ht="22" customHeight="1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>
        <f>IF(A415="","",IF(Q415="Yes",5,0)+IF(I415="Critical",4,IF(I415="High",3,IF(I415="Medium",2,IF(I415="Low",1,0)))))</f>
        <v/>
      </c>
      <c r="S415" s="48" t="n"/>
    </row>
    <row r="416" ht="22" customHeight="1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>
        <f>IF(A416="","",IF(Q416="Yes",5,0)+IF(I416="Critical",4,IF(I416="High",3,IF(I416="Medium",2,IF(I416="Low",1,0)))))</f>
        <v/>
      </c>
      <c r="S416" s="46" t="n"/>
    </row>
    <row r="417" ht="22" customHeight="1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>
        <f>IF(A417="","",IF(Q417="Yes",5,0)+IF(I417="Critical",4,IF(I417="High",3,IF(I417="Medium",2,IF(I417="Low",1,0)))))</f>
        <v/>
      </c>
      <c r="S417" s="48" t="n"/>
    </row>
    <row r="418" ht="22" customHeight="1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>
        <f>IF(A418="","",IF(Q418="Yes",5,0)+IF(I418="Critical",4,IF(I418="High",3,IF(I418="Medium",2,IF(I418="Low",1,0)))))</f>
        <v/>
      </c>
      <c r="S418" s="46" t="n"/>
    </row>
    <row r="419" ht="22" customHeight="1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>
        <f>IF(A419="","",IF(Q419="Yes",5,0)+IF(I419="Critical",4,IF(I419="High",3,IF(I419="Medium",2,IF(I419="Low",1,0)))))</f>
        <v/>
      </c>
      <c r="S419" s="48" t="n"/>
    </row>
    <row r="420" ht="22" customHeight="1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>
        <f>IF(A420="","",IF(Q420="Yes",5,0)+IF(I420="Critical",4,IF(I420="High",3,IF(I420="Medium",2,IF(I420="Low",1,0)))))</f>
        <v/>
      </c>
      <c r="S420" s="46" t="n"/>
    </row>
    <row r="421" ht="22" customHeight="1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>
        <f>IF(A421="","",IF(Q421="Yes",5,0)+IF(I421="Critical",4,IF(I421="High",3,IF(I421="Medium",2,IF(I421="Low",1,0)))))</f>
        <v/>
      </c>
      <c r="S421" s="48" t="n"/>
    </row>
    <row r="422" ht="22" customHeight="1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>
        <f>IF(A422="","",IF(Q422="Yes",5,0)+IF(I422="Critical",4,IF(I422="High",3,IF(I422="Medium",2,IF(I422="Low",1,0)))))</f>
        <v/>
      </c>
      <c r="S422" s="46" t="n"/>
    </row>
    <row r="423" ht="22" customHeight="1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>
        <f>IF(A423="","",IF(Q423="Yes",5,0)+IF(I423="Critical",4,IF(I423="High",3,IF(I423="Medium",2,IF(I423="Low",1,0)))))</f>
        <v/>
      </c>
      <c r="S423" s="48" t="n"/>
    </row>
    <row r="424" ht="22" customHeight="1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>
        <f>IF(A424="","",IF(Q424="Yes",5,0)+IF(I424="Critical",4,IF(I424="High",3,IF(I424="Medium",2,IF(I424="Low",1,0)))))</f>
        <v/>
      </c>
      <c r="S424" s="46" t="n"/>
    </row>
    <row r="425" ht="22" customHeight="1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>
        <f>IF(A425="","",IF(Q425="Yes",5,0)+IF(I425="Critical",4,IF(I425="High",3,IF(I425="Medium",2,IF(I425="Low",1,0)))))</f>
        <v/>
      </c>
      <c r="S425" s="48" t="n"/>
    </row>
    <row r="426" ht="22" customHeight="1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>
        <f>IF(A426="","",IF(Q426="Yes",5,0)+IF(I426="Critical",4,IF(I426="High",3,IF(I426="Medium",2,IF(I426="Low",1,0)))))</f>
        <v/>
      </c>
      <c r="S426" s="46" t="n"/>
    </row>
    <row r="427" ht="22" customHeight="1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>
        <f>IF(A427="","",IF(Q427="Yes",5,0)+IF(I427="Critical",4,IF(I427="High",3,IF(I427="Medium",2,IF(I427="Low",1,0)))))</f>
        <v/>
      </c>
      <c r="S427" s="48" t="n"/>
    </row>
    <row r="428" ht="22" customHeight="1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>
        <f>IF(A428="","",IF(Q428="Yes",5,0)+IF(I428="Critical",4,IF(I428="High",3,IF(I428="Medium",2,IF(I428="Low",1,0)))))</f>
        <v/>
      </c>
      <c r="S428" s="46" t="n"/>
    </row>
    <row r="429" ht="22" customHeight="1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>
        <f>IF(A429="","",IF(Q429="Yes",5,0)+IF(I429="Critical",4,IF(I429="High",3,IF(I429="Medium",2,IF(I429="Low",1,0)))))</f>
        <v/>
      </c>
      <c r="S429" s="48" t="n"/>
    </row>
    <row r="430" ht="22" customHeight="1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>
        <f>IF(A430="","",IF(Q430="Yes",5,0)+IF(I430="Critical",4,IF(I430="High",3,IF(I430="Medium",2,IF(I430="Low",1,0)))))</f>
        <v/>
      </c>
      <c r="S430" s="46" t="n"/>
    </row>
    <row r="431" ht="22" customHeight="1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>
        <f>IF(A431="","",IF(Q431="Yes",5,0)+IF(I431="Critical",4,IF(I431="High",3,IF(I431="Medium",2,IF(I431="Low",1,0)))))</f>
        <v/>
      </c>
      <c r="S431" s="48" t="n"/>
    </row>
    <row r="432" ht="22" customHeight="1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>
        <f>IF(A432="","",IF(Q432="Yes",5,0)+IF(I432="Critical",4,IF(I432="High",3,IF(I432="Medium",2,IF(I432="Low",1,0)))))</f>
        <v/>
      </c>
      <c r="S432" s="46" t="n"/>
    </row>
    <row r="433" ht="22" customHeight="1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>
        <f>IF(A433="","",IF(Q433="Yes",5,0)+IF(I433="Critical",4,IF(I433="High",3,IF(I433="Medium",2,IF(I433="Low",1,0)))))</f>
        <v/>
      </c>
      <c r="S433" s="48" t="n"/>
    </row>
    <row r="434" ht="22" customHeight="1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>
        <f>IF(A434="","",IF(Q434="Yes",5,0)+IF(I434="Critical",4,IF(I434="High",3,IF(I434="Medium",2,IF(I434="Low",1,0)))))</f>
        <v/>
      </c>
      <c r="S434" s="46" t="n"/>
    </row>
    <row r="435" ht="22" customHeight="1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>
        <f>IF(A435="","",IF(Q435="Yes",5,0)+IF(I435="Critical",4,IF(I435="High",3,IF(I435="Medium",2,IF(I435="Low",1,0)))))</f>
        <v/>
      </c>
      <c r="S435" s="48" t="n"/>
    </row>
    <row r="436" ht="22" customHeight="1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>
        <f>IF(A436="","",IF(Q436="Yes",5,0)+IF(I436="Critical",4,IF(I436="High",3,IF(I436="Medium",2,IF(I436="Low",1,0)))))</f>
        <v/>
      </c>
      <c r="S436" s="46" t="n"/>
    </row>
    <row r="437" ht="22" customHeight="1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>
        <f>IF(A437="","",IF(Q437="Yes",5,0)+IF(I437="Critical",4,IF(I437="High",3,IF(I437="Medium",2,IF(I437="Low",1,0)))))</f>
        <v/>
      </c>
      <c r="S437" s="48" t="n"/>
    </row>
    <row r="438" ht="22" customHeight="1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>
        <f>IF(A438="","",IF(Q438="Yes",5,0)+IF(I438="Critical",4,IF(I438="High",3,IF(I438="Medium",2,IF(I438="Low",1,0)))))</f>
        <v/>
      </c>
      <c r="S438" s="46" t="n"/>
    </row>
    <row r="439" ht="22" customHeight="1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>
        <f>IF(A439="","",IF(Q439="Yes",5,0)+IF(I439="Critical",4,IF(I439="High",3,IF(I439="Medium",2,IF(I439="Low",1,0)))))</f>
        <v/>
      </c>
      <c r="S439" s="48" t="n"/>
    </row>
    <row r="440" ht="22" customHeight="1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>
        <f>IF(A440="","",IF(Q440="Yes",5,0)+IF(I440="Critical",4,IF(I440="High",3,IF(I440="Medium",2,IF(I440="Low",1,0)))))</f>
        <v/>
      </c>
      <c r="S440" s="46" t="n"/>
    </row>
    <row r="441" ht="22" customHeight="1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>
        <f>IF(A441="","",IF(Q441="Yes",5,0)+IF(I441="Critical",4,IF(I441="High",3,IF(I441="Medium",2,IF(I441="Low",1,0)))))</f>
        <v/>
      </c>
      <c r="S441" s="48" t="n"/>
    </row>
    <row r="442" ht="22" customHeight="1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>
        <f>IF(A442="","",IF(Q442="Yes",5,0)+IF(I442="Critical",4,IF(I442="High",3,IF(I442="Medium",2,IF(I442="Low",1,0)))))</f>
        <v/>
      </c>
      <c r="S442" s="46" t="n"/>
    </row>
    <row r="443" ht="22" customHeight="1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>
        <f>IF(A443="","",IF(Q443="Yes",5,0)+IF(I443="Critical",4,IF(I443="High",3,IF(I443="Medium",2,IF(I443="Low",1,0)))))</f>
        <v/>
      </c>
      <c r="S443" s="48" t="n"/>
    </row>
    <row r="444" ht="22" customHeight="1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>
        <f>IF(A444="","",IF(Q444="Yes",5,0)+IF(I444="Critical",4,IF(I444="High",3,IF(I444="Medium",2,IF(I444="Low",1,0)))))</f>
        <v/>
      </c>
      <c r="S444" s="46" t="n"/>
    </row>
    <row r="445" ht="22" customHeight="1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>
        <f>IF(A445="","",IF(Q445="Yes",5,0)+IF(I445="Critical",4,IF(I445="High",3,IF(I445="Medium",2,IF(I445="Low",1,0)))))</f>
        <v/>
      </c>
      <c r="S445" s="48" t="n"/>
    </row>
    <row r="446" ht="22" customHeight="1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>
        <f>IF(A446="","",IF(Q446="Yes",5,0)+IF(I446="Critical",4,IF(I446="High",3,IF(I446="Medium",2,IF(I446="Low",1,0)))))</f>
        <v/>
      </c>
      <c r="S446" s="46" t="n"/>
    </row>
    <row r="447" ht="22" customHeight="1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>
        <f>IF(A447="","",IF(Q447="Yes",5,0)+IF(I447="Critical",4,IF(I447="High",3,IF(I447="Medium",2,IF(I447="Low",1,0)))))</f>
        <v/>
      </c>
      <c r="S447" s="48" t="n"/>
    </row>
    <row r="448" ht="22" customHeight="1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>
        <f>IF(A448="","",IF(Q448="Yes",5,0)+IF(I448="Critical",4,IF(I448="High",3,IF(I448="Medium",2,IF(I448="Low",1,0)))))</f>
        <v/>
      </c>
      <c r="S448" s="46" t="n"/>
    </row>
    <row r="449" ht="22" customHeight="1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>
        <f>IF(A449="","",IF(Q449="Yes",5,0)+IF(I449="Critical",4,IF(I449="High",3,IF(I449="Medium",2,IF(I449="Low",1,0)))))</f>
        <v/>
      </c>
      <c r="S449" s="48" t="n"/>
    </row>
    <row r="450" ht="22" customHeight="1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>
        <f>IF(A450="","",IF(Q450="Yes",5,0)+IF(I450="Critical",4,IF(I450="High",3,IF(I450="Medium",2,IF(I450="Low",1,0)))))</f>
        <v/>
      </c>
      <c r="S450" s="46" t="n"/>
    </row>
    <row r="451" ht="22" customHeight="1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>
        <f>IF(A451="","",IF(Q451="Yes",5,0)+IF(I451="Critical",4,IF(I451="High",3,IF(I451="Medium",2,IF(I451="Low",1,0)))))</f>
        <v/>
      </c>
      <c r="S451" s="48" t="n"/>
    </row>
    <row r="452" ht="22" customHeight="1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>
        <f>IF(A452="","",IF(Q452="Yes",5,0)+IF(I452="Critical",4,IF(I452="High",3,IF(I452="Medium",2,IF(I452="Low",1,0)))))</f>
        <v/>
      </c>
      <c r="S452" s="46" t="n"/>
    </row>
    <row r="453" ht="22" customHeight="1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>
        <f>IF(A453="","",IF(Q453="Yes",5,0)+IF(I453="Critical",4,IF(I453="High",3,IF(I453="Medium",2,IF(I453="Low",1,0)))))</f>
        <v/>
      </c>
      <c r="S453" s="48" t="n"/>
    </row>
    <row r="454" ht="22" customHeight="1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>
        <f>IF(A454="","",IF(Q454="Yes",5,0)+IF(I454="Critical",4,IF(I454="High",3,IF(I454="Medium",2,IF(I454="Low",1,0)))))</f>
        <v/>
      </c>
      <c r="S454" s="46" t="n"/>
    </row>
    <row r="455" ht="22" customHeight="1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>
        <f>IF(A455="","",IF(Q455="Yes",5,0)+IF(I455="Critical",4,IF(I455="High",3,IF(I455="Medium",2,IF(I455="Low",1,0)))))</f>
        <v/>
      </c>
      <c r="S455" s="48" t="n"/>
    </row>
    <row r="456" ht="22" customHeight="1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>
        <f>IF(A456="","",IF(Q456="Yes",5,0)+IF(I456="Critical",4,IF(I456="High",3,IF(I456="Medium",2,IF(I456="Low",1,0)))))</f>
        <v/>
      </c>
      <c r="S456" s="46" t="n"/>
    </row>
    <row r="457" ht="22" customHeight="1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>
        <f>IF(A457="","",IF(Q457="Yes",5,0)+IF(I457="Critical",4,IF(I457="High",3,IF(I457="Medium",2,IF(I457="Low",1,0)))))</f>
        <v/>
      </c>
      <c r="S457" s="48" t="n"/>
    </row>
    <row r="458" ht="22" customHeight="1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>
        <f>IF(A458="","",IF(Q458="Yes",5,0)+IF(I458="Critical",4,IF(I458="High",3,IF(I458="Medium",2,IF(I458="Low",1,0)))))</f>
        <v/>
      </c>
      <c r="S458" s="46" t="n"/>
    </row>
    <row r="459" ht="22" customHeight="1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>
        <f>IF(A459="","",IF(Q459="Yes",5,0)+IF(I459="Critical",4,IF(I459="High",3,IF(I459="Medium",2,IF(I459="Low",1,0)))))</f>
        <v/>
      </c>
      <c r="S459" s="48" t="n"/>
    </row>
    <row r="460" ht="22" customHeight="1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>
        <f>IF(A460="","",IF(Q460="Yes",5,0)+IF(I460="Critical",4,IF(I460="High",3,IF(I460="Medium",2,IF(I460="Low",1,0)))))</f>
        <v/>
      </c>
      <c r="S460" s="46" t="n"/>
    </row>
    <row r="461" ht="22" customHeight="1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>
        <f>IF(A461="","",IF(Q461="Yes",5,0)+IF(I461="Critical",4,IF(I461="High",3,IF(I461="Medium",2,IF(I461="Low",1,0)))))</f>
        <v/>
      </c>
      <c r="S461" s="48" t="n"/>
    </row>
    <row r="462" ht="22" customHeight="1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>
        <f>IF(A462="","",IF(Q462="Yes",5,0)+IF(I462="Critical",4,IF(I462="High",3,IF(I462="Medium",2,IF(I462="Low",1,0)))))</f>
        <v/>
      </c>
      <c r="S462" s="46" t="n"/>
    </row>
    <row r="463" ht="22" customHeight="1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>
        <f>IF(A463="","",IF(Q463="Yes",5,0)+IF(I463="Critical",4,IF(I463="High",3,IF(I463="Medium",2,IF(I463="Low",1,0)))))</f>
        <v/>
      </c>
      <c r="S463" s="48" t="n"/>
    </row>
    <row r="464" ht="22" customHeight="1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>
        <f>IF(A464="","",IF(Q464="Yes",5,0)+IF(I464="Critical",4,IF(I464="High",3,IF(I464="Medium",2,IF(I464="Low",1,0)))))</f>
        <v/>
      </c>
      <c r="S464" s="46" t="n"/>
    </row>
    <row r="465" ht="22" customHeight="1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>
        <f>IF(A465="","",IF(Q465="Yes",5,0)+IF(I465="Critical",4,IF(I465="High",3,IF(I465="Medium",2,IF(I465="Low",1,0)))))</f>
        <v/>
      </c>
      <c r="S465" s="48" t="n"/>
    </row>
    <row r="466" ht="22" customHeight="1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>
        <f>IF(A466="","",IF(Q466="Yes",5,0)+IF(I466="Critical",4,IF(I466="High",3,IF(I466="Medium",2,IF(I466="Low",1,0)))))</f>
        <v/>
      </c>
      <c r="S466" s="46" t="n"/>
    </row>
    <row r="467" ht="22" customHeight="1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>
        <f>IF(A467="","",IF(Q467="Yes",5,0)+IF(I467="Critical",4,IF(I467="High",3,IF(I467="Medium",2,IF(I467="Low",1,0)))))</f>
        <v/>
      </c>
      <c r="S467" s="48" t="n"/>
    </row>
    <row r="468" ht="22" customHeight="1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>
        <f>IF(A468="","",IF(Q468="Yes",5,0)+IF(I468="Critical",4,IF(I468="High",3,IF(I468="Medium",2,IF(I468="Low",1,0)))))</f>
        <v/>
      </c>
      <c r="S468" s="46" t="n"/>
    </row>
    <row r="469" ht="22" customHeight="1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>
        <f>IF(A469="","",IF(Q469="Yes",5,0)+IF(I469="Critical",4,IF(I469="High",3,IF(I469="Medium",2,IF(I469="Low",1,0)))))</f>
        <v/>
      </c>
      <c r="S469" s="48" t="n"/>
    </row>
    <row r="470" ht="22" customHeight="1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>
        <f>IF(A470="","",IF(Q470="Yes",5,0)+IF(I470="Critical",4,IF(I470="High",3,IF(I470="Medium",2,IF(I470="Low",1,0)))))</f>
        <v/>
      </c>
      <c r="S470" s="46" t="n"/>
    </row>
    <row r="471" ht="22" customHeight="1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>
        <f>IF(A471="","",IF(Q471="Yes",5,0)+IF(I471="Critical",4,IF(I471="High",3,IF(I471="Medium",2,IF(I471="Low",1,0)))))</f>
        <v/>
      </c>
      <c r="S471" s="48" t="n"/>
    </row>
    <row r="472" ht="22" customHeight="1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>
        <f>IF(A472="","",IF(Q472="Yes",5,0)+IF(I472="Critical",4,IF(I472="High",3,IF(I472="Medium",2,IF(I472="Low",1,0)))))</f>
        <v/>
      </c>
      <c r="S472" s="46" t="n"/>
    </row>
    <row r="473" ht="22" customHeight="1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>
        <f>IF(A473="","",IF(Q473="Yes",5,0)+IF(I473="Critical",4,IF(I473="High",3,IF(I473="Medium",2,IF(I473="Low",1,0)))))</f>
        <v/>
      </c>
      <c r="S473" s="48" t="n"/>
    </row>
    <row r="474" ht="22" customHeight="1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>
        <f>IF(A474="","",IF(Q474="Yes",5,0)+IF(I474="Critical",4,IF(I474="High",3,IF(I474="Medium",2,IF(I474="Low",1,0)))))</f>
        <v/>
      </c>
      <c r="S474" s="46" t="n"/>
    </row>
    <row r="475" ht="22" customHeight="1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>
        <f>IF(A475="","",IF(Q475="Yes",5,0)+IF(I475="Critical",4,IF(I475="High",3,IF(I475="Medium",2,IF(I475="Low",1,0)))))</f>
        <v/>
      </c>
      <c r="S475" s="48" t="n"/>
    </row>
    <row r="476" ht="22" customHeight="1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>
        <f>IF(A476="","",IF(Q476="Yes",5,0)+IF(I476="Critical",4,IF(I476="High",3,IF(I476="Medium",2,IF(I476="Low",1,0)))))</f>
        <v/>
      </c>
      <c r="S476" s="46" t="n"/>
    </row>
    <row r="477" ht="22" customHeight="1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>
        <f>IF(A477="","",IF(Q477="Yes",5,0)+IF(I477="Critical",4,IF(I477="High",3,IF(I477="Medium",2,IF(I477="Low",1,0)))))</f>
        <v/>
      </c>
      <c r="S477" s="48" t="n"/>
    </row>
    <row r="478" ht="22" customHeight="1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>
        <f>IF(A478="","",IF(Q478="Yes",5,0)+IF(I478="Critical",4,IF(I478="High",3,IF(I478="Medium",2,IF(I478="Low",1,0)))))</f>
        <v/>
      </c>
      <c r="S478" s="46" t="n"/>
    </row>
    <row r="479" ht="22" customHeight="1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>
        <f>IF(A479="","",IF(Q479="Yes",5,0)+IF(I479="Critical",4,IF(I479="High",3,IF(I479="Medium",2,IF(I479="Low",1,0)))))</f>
        <v/>
      </c>
      <c r="S479" s="48" t="n"/>
    </row>
    <row r="480" ht="22" customHeight="1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>
        <f>IF(A480="","",IF(Q480="Yes",5,0)+IF(I480="Critical",4,IF(I480="High",3,IF(I480="Medium",2,IF(I480="Low",1,0)))))</f>
        <v/>
      </c>
      <c r="S480" s="46" t="n"/>
    </row>
    <row r="481" ht="22" customHeight="1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>
        <f>IF(A481="","",IF(Q481="Yes",5,0)+IF(I481="Critical",4,IF(I481="High",3,IF(I481="Medium",2,IF(I481="Low",1,0)))))</f>
        <v/>
      </c>
      <c r="S481" s="48" t="n"/>
    </row>
    <row r="482" ht="22" customHeight="1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>
        <f>IF(A482="","",IF(Q482="Yes",5,0)+IF(I482="Critical",4,IF(I482="High",3,IF(I482="Medium",2,IF(I482="Low",1,0)))))</f>
        <v/>
      </c>
      <c r="S482" s="46" t="n"/>
    </row>
    <row r="483" ht="22" customHeight="1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>
        <f>IF(A483="","",IF(Q483="Yes",5,0)+IF(I483="Critical",4,IF(I483="High",3,IF(I483="Medium",2,IF(I483="Low",1,0)))))</f>
        <v/>
      </c>
      <c r="S483" s="48" t="n"/>
    </row>
    <row r="484" ht="22" customHeight="1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>
        <f>IF(A484="","",IF(Q484="Yes",5,0)+IF(I484="Critical",4,IF(I484="High",3,IF(I484="Medium",2,IF(I484="Low",1,0)))))</f>
        <v/>
      </c>
      <c r="S484" s="46" t="n"/>
    </row>
    <row r="485" ht="22" customHeight="1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>
        <f>IF(A485="","",IF(Q485="Yes",5,0)+IF(I485="Critical",4,IF(I485="High",3,IF(I485="Medium",2,IF(I485="Low",1,0)))))</f>
        <v/>
      </c>
      <c r="S485" s="48" t="n"/>
    </row>
    <row r="486" ht="22" customHeight="1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>
        <f>IF(A486="","",IF(Q486="Yes",5,0)+IF(I486="Critical",4,IF(I486="High",3,IF(I486="Medium",2,IF(I486="Low",1,0)))))</f>
        <v/>
      </c>
      <c r="S486" s="46" t="n"/>
    </row>
    <row r="487" ht="22" customHeight="1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>
        <f>IF(A487="","",IF(Q487="Yes",5,0)+IF(I487="Critical",4,IF(I487="High",3,IF(I487="Medium",2,IF(I487="Low",1,0)))))</f>
        <v/>
      </c>
      <c r="S487" s="48" t="n"/>
    </row>
    <row r="488" ht="22" customHeight="1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>
        <f>IF(A488="","",IF(Q488="Yes",5,0)+IF(I488="Critical",4,IF(I488="High",3,IF(I488="Medium",2,IF(I488="Low",1,0)))))</f>
        <v/>
      </c>
      <c r="S488" s="46" t="n"/>
    </row>
    <row r="489" ht="22" customHeight="1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>
        <f>IF(A489="","",IF(Q489="Yes",5,0)+IF(I489="Critical",4,IF(I489="High",3,IF(I489="Medium",2,IF(I489="Low",1,0)))))</f>
        <v/>
      </c>
      <c r="S489" s="48" t="n"/>
    </row>
    <row r="490" ht="22" customHeight="1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>
        <f>IF(A490="","",IF(Q490="Yes",5,0)+IF(I490="Critical",4,IF(I490="High",3,IF(I490="Medium",2,IF(I490="Low",1,0)))))</f>
        <v/>
      </c>
      <c r="S490" s="46" t="n"/>
    </row>
    <row r="491" ht="22" customHeight="1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>
        <f>IF(A491="","",IF(Q491="Yes",5,0)+IF(I491="Critical",4,IF(I491="High",3,IF(I491="Medium",2,IF(I491="Low",1,0)))))</f>
        <v/>
      </c>
      <c r="S491" s="48" t="n"/>
    </row>
    <row r="492" ht="22" customHeight="1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>
        <f>IF(A492="","",IF(Q492="Yes",5,0)+IF(I492="Critical",4,IF(I492="High",3,IF(I492="Medium",2,IF(I492="Low",1,0)))))</f>
        <v/>
      </c>
      <c r="S492" s="46" t="n"/>
    </row>
    <row r="493" ht="22" customHeight="1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>
        <f>IF(A493="","",IF(Q493="Yes",5,0)+IF(I493="Critical",4,IF(I493="High",3,IF(I493="Medium",2,IF(I493="Low",1,0)))))</f>
        <v/>
      </c>
      <c r="S493" s="48" t="n"/>
    </row>
    <row r="494" ht="22" customHeight="1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>
        <f>IF(A494="","",IF(Q494="Yes",5,0)+IF(I494="Critical",4,IF(I494="High",3,IF(I494="Medium",2,IF(I494="Low",1,0)))))</f>
        <v/>
      </c>
      <c r="S494" s="46" t="n"/>
    </row>
    <row r="495" ht="22" customHeight="1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>
        <f>IF(A495="","",IF(Q495="Yes",5,0)+IF(I495="Critical",4,IF(I495="High",3,IF(I495="Medium",2,IF(I495="Low",1,0)))))</f>
        <v/>
      </c>
      <c r="S495" s="48" t="n"/>
    </row>
    <row r="496" ht="22" customHeight="1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>
        <f>IF(A496="","",IF(Q496="Yes",5,0)+IF(I496="Critical",4,IF(I496="High",3,IF(I496="Medium",2,IF(I496="Low",1,0)))))</f>
        <v/>
      </c>
      <c r="S496" s="46" t="n"/>
    </row>
    <row r="497" ht="22" customHeight="1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>
        <f>IF(A497="","",IF(Q497="Yes",5,0)+IF(I497="Critical",4,IF(I497="High",3,IF(I497="Medium",2,IF(I497="Low",1,0)))))</f>
        <v/>
      </c>
      <c r="S497" s="48" t="n"/>
    </row>
    <row r="498" ht="22" customHeight="1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>
        <f>IF(A498="","",IF(Q498="Yes",5,0)+IF(I498="Critical",4,IF(I498="High",3,IF(I498="Medium",2,IF(I498="Low",1,0)))))</f>
        <v/>
      </c>
      <c r="S498" s="46" t="n"/>
    </row>
    <row r="499" ht="22" customHeight="1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>
        <f>IF(A499="","",IF(Q499="Yes",5,0)+IF(I499="Critical",4,IF(I499="High",3,IF(I499="Medium",2,IF(I499="Low",1,0)))))</f>
        <v/>
      </c>
      <c r="S499" s="48" t="n"/>
    </row>
    <row r="500" ht="22" customHeight="1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>
        <f>IF(A500="","",IF(Q500="Yes",5,0)+IF(I500="Critical",4,IF(I500="High",3,IF(I500="Medium",2,IF(I500="Low",1,0)))))</f>
        <v/>
      </c>
      <c r="S500" s="46" t="n"/>
    </row>
  </sheetData>
  <autoFilter ref="A1:S500"/>
  <dataValidations count="6">
    <dataValidation sqref="J2:J500" showDropDown="0" showInputMessage="0" showErrorMessage="0" allowBlank="1" errorTitle="Invalid Entry" error="Please select a value from the dropdown" promptTitle="Choose" prompt="Select from dropdown" type="list">
      <formula1>"Not Hiring,Researching,Applied,Interviewing,Offer,Rejected"</formula1>
    </dataValidation>
    <dataValidation sqref="I2:I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K2:K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L2:L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Q2:Q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P2:P500" showDropDown="0" showInputMessage="0" showErrorMessage="0" allowBlank="1" errorTitle="Invalid Entry" error="Please select a value from the dropdown" promptTitle="Choose" prompt="Select from dropdown" type="list">
      <formula1>"Startup (1-50),Small (51-200),Medium (201-1000),Large (1001-5000),Enterprise (5000+)"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2C55E"/>
    <outlinePr summaryBelow="1" summaryRight="1"/>
    <pageSetUpPr/>
  </sheetPr>
  <dimension ref="A1:S5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6" customWidth="1" min="11" max="11"/>
    <col width="14" customWidth="1" min="12" max="12"/>
    <col width="12" customWidth="1" min="13" max="13"/>
    <col width="16" customWidth="1" min="14" max="14"/>
    <col width="14" customWidth="1" min="15" max="15"/>
    <col width="14" customWidth="1" min="16" max="16"/>
    <col width="14" customWidth="1" min="17" max="17"/>
    <col width="12" customWidth="1" min="18" max="18"/>
    <col width="12" customWidth="1" min="19" max="19"/>
  </cols>
  <sheetData>
    <row r="1" ht="28" customHeight="1">
      <c r="A1" s="45" t="inlineStr">
        <is>
          <t>Company</t>
        </is>
      </c>
      <c r="B1" s="45" t="inlineStr">
        <is>
          <t>Base Salary</t>
        </is>
      </c>
      <c r="C1" s="45" t="inlineStr">
        <is>
          <t>Bonus</t>
        </is>
      </c>
      <c r="D1" s="45" t="inlineStr">
        <is>
          <t>Equity</t>
        </is>
      </c>
      <c r="E1" s="45" t="inlineStr">
        <is>
          <t>Benefits Value</t>
        </is>
      </c>
      <c r="F1" s="45" t="inlineStr">
        <is>
          <t>PTO Days</t>
        </is>
      </c>
      <c r="G1" s="45" t="inlineStr">
        <is>
          <t>Remote</t>
        </is>
      </c>
      <c r="H1" s="45" t="inlineStr">
        <is>
          <t>Visa Sponsorship</t>
        </is>
      </c>
      <c r="I1" s="45" t="inlineStr">
        <is>
          <t>Signing Bonus</t>
        </is>
      </c>
      <c r="J1" s="45" t="inlineStr">
        <is>
          <t>Relocation Bonus</t>
        </is>
      </c>
      <c r="K1" s="45" t="inlineStr">
        <is>
          <t>Annual Compensation</t>
        </is>
      </c>
      <c r="L1" s="45" t="inlineStr">
        <is>
          <t>Monthly Income</t>
        </is>
      </c>
      <c r="M1" s="45" t="inlineStr">
        <is>
          <t>Hourly Rate</t>
        </is>
      </c>
      <c r="N1" s="45" t="inlineStr">
        <is>
          <t>Total Compensation</t>
        </is>
      </c>
      <c r="O1" s="45" t="inlineStr">
        <is>
          <t>Estimated Tax (25%)</t>
        </is>
      </c>
      <c r="P1" s="45" t="inlineStr">
        <is>
          <t>Net Salary</t>
        </is>
      </c>
      <c r="Q1" s="45" t="inlineStr">
        <is>
          <t>Decision Score</t>
        </is>
      </c>
      <c r="R1" s="45" t="inlineStr">
        <is>
          <t>Weighted Score</t>
        </is>
      </c>
      <c r="S1" s="45" t="inlineStr">
        <is>
          <t>Offer Ranking</t>
        </is>
      </c>
    </row>
    <row r="2" ht="22" customHeight="1">
      <c r="A2" s="46" t="inlineStr">
        <is>
          <t>Tech Corp</t>
        </is>
      </c>
      <c r="B2" s="50" t="n">
        <v>150000</v>
      </c>
      <c r="C2" s="50" t="n">
        <v>20000</v>
      </c>
      <c r="D2" s="50" t="n">
        <v>50000</v>
      </c>
      <c r="E2" s="50" t="inlineStr">
        <is>
          <t>Full Health</t>
        </is>
      </c>
      <c r="F2" s="46" t="inlineStr">
        <is>
          <t>20 days</t>
        </is>
      </c>
      <c r="G2" s="46" t="inlineStr">
        <is>
          <t>Yes</t>
        </is>
      </c>
      <c r="H2" s="46" t="inlineStr">
        <is>
          <t>Yes</t>
        </is>
      </c>
      <c r="I2" s="50">
        <f>B2+C2+D2</f>
        <v/>
      </c>
      <c r="J2" s="50" t="inlineStr"/>
      <c r="K2" s="50">
        <f>IF(A2="","",B2+C2)</f>
        <v/>
      </c>
      <c r="L2" s="50">
        <f>IF(A2="","",K2/12)</f>
        <v/>
      </c>
      <c r="M2" s="50">
        <f>IF(A2="","",K2/2080)</f>
        <v/>
      </c>
      <c r="N2" s="50">
        <f>IF(A2="","",B2+C2+D2+E2+I2+J2)</f>
        <v/>
      </c>
      <c r="O2" s="50">
        <f>IF(A2="","",N2*0.25)</f>
        <v/>
      </c>
      <c r="P2" s="50">
        <f>IF(A2="","",N2-O2)</f>
        <v/>
      </c>
      <c r="Q2" s="50">
        <f>IF(A2="","",ROUND(B2*0.4+C2*0.1+D2*0.1+E2*0.1+IF(G2="Yes",5000,0)*0.1+F2*500*0.1+IF(H2="Yes",5000,0)*0.1,0))</f>
        <v/>
      </c>
      <c r="R2" s="46">
        <f>IF(A2="","",ROUND(Q2/1000,1))</f>
        <v/>
      </c>
      <c r="S2" s="46">
        <f>IF(A2="","",RANK(R2,$R$2:$R$500,0))</f>
        <v/>
      </c>
    </row>
    <row r="3" ht="22" customHeight="1">
      <c r="A3" s="48" t="n"/>
      <c r="B3" s="51" t="n"/>
      <c r="C3" s="51" t="n"/>
      <c r="D3" s="51" t="n"/>
      <c r="E3" s="51" t="n"/>
      <c r="F3" s="48" t="n"/>
      <c r="G3" s="48" t="n"/>
      <c r="H3" s="48" t="n"/>
      <c r="I3" s="51" t="n"/>
      <c r="J3" s="51" t="n"/>
      <c r="K3" s="51">
        <f>IF(A3="","",B3+C3)</f>
        <v/>
      </c>
      <c r="L3" s="51">
        <f>IF(A3="","",K3/12)</f>
        <v/>
      </c>
      <c r="M3" s="51">
        <f>IF(A3="","",K3/2080)</f>
        <v/>
      </c>
      <c r="N3" s="51">
        <f>IF(A3="","",B3+C3+D3+E3+I3+J3)</f>
        <v/>
      </c>
      <c r="O3" s="51">
        <f>IF(A3="","",N3*0.25)</f>
        <v/>
      </c>
      <c r="P3" s="51">
        <f>IF(A3="","",N3-O3)</f>
        <v/>
      </c>
      <c r="Q3" s="51">
        <f>IF(A3="","",ROUND(B3*0.4+C3*0.1+D3*0.1+E3*0.1+IF(G3="Yes",5000,0)*0.1+F3*500*0.1+IF(H3="Yes",5000,0)*0.1,0))</f>
        <v/>
      </c>
      <c r="R3" s="48">
        <f>IF(A3="","",ROUND(Q3/1000,1))</f>
        <v/>
      </c>
      <c r="S3" s="48">
        <f>IF(A3="","",RANK(R3,$R$2:$R$500,0))</f>
        <v/>
      </c>
    </row>
    <row r="4" ht="22" customHeight="1">
      <c r="A4" s="46" t="n"/>
      <c r="B4" s="50" t="n"/>
      <c r="C4" s="50" t="n"/>
      <c r="D4" s="50" t="n"/>
      <c r="E4" s="50" t="n"/>
      <c r="F4" s="46" t="n"/>
      <c r="G4" s="46" t="n"/>
      <c r="H4" s="46" t="n"/>
      <c r="I4" s="50" t="n"/>
      <c r="J4" s="50" t="n"/>
      <c r="K4" s="50">
        <f>IF(A4="","",B4+C4)</f>
        <v/>
      </c>
      <c r="L4" s="50">
        <f>IF(A4="","",K4/12)</f>
        <v/>
      </c>
      <c r="M4" s="50">
        <f>IF(A4="","",K4/2080)</f>
        <v/>
      </c>
      <c r="N4" s="50">
        <f>IF(A4="","",B4+C4+D4+E4+I4+J4)</f>
        <v/>
      </c>
      <c r="O4" s="50">
        <f>IF(A4="","",N4*0.25)</f>
        <v/>
      </c>
      <c r="P4" s="50">
        <f>IF(A4="","",N4-O4)</f>
        <v/>
      </c>
      <c r="Q4" s="50">
        <f>IF(A4="","",ROUND(B4*0.4+C4*0.1+D4*0.1+E4*0.1+IF(G4="Yes",5000,0)*0.1+F4*500*0.1+IF(H4="Yes",5000,0)*0.1,0))</f>
        <v/>
      </c>
      <c r="R4" s="46">
        <f>IF(A4="","",ROUND(Q4/1000,1))</f>
        <v/>
      </c>
      <c r="S4" s="46">
        <f>IF(A4="","",RANK(R4,$R$2:$R$500,0))</f>
        <v/>
      </c>
    </row>
    <row r="5" ht="22" customHeight="1">
      <c r="A5" s="48" t="n"/>
      <c r="B5" s="51" t="n"/>
      <c r="C5" s="51" t="n"/>
      <c r="D5" s="51" t="n"/>
      <c r="E5" s="51" t="n"/>
      <c r="F5" s="48" t="n"/>
      <c r="G5" s="48" t="n"/>
      <c r="H5" s="48" t="n"/>
      <c r="I5" s="51" t="n"/>
      <c r="J5" s="51" t="n"/>
      <c r="K5" s="51">
        <f>IF(A5="","",B5+C5)</f>
        <v/>
      </c>
      <c r="L5" s="51">
        <f>IF(A5="","",K5/12)</f>
        <v/>
      </c>
      <c r="M5" s="51">
        <f>IF(A5="","",K5/2080)</f>
        <v/>
      </c>
      <c r="N5" s="51">
        <f>IF(A5="","",B5+C5+D5+E5+I5+J5)</f>
        <v/>
      </c>
      <c r="O5" s="51">
        <f>IF(A5="","",N5*0.25)</f>
        <v/>
      </c>
      <c r="P5" s="51">
        <f>IF(A5="","",N5-O5)</f>
        <v/>
      </c>
      <c r="Q5" s="51">
        <f>IF(A5="","",ROUND(B5*0.4+C5*0.1+D5*0.1+E5*0.1+IF(G5="Yes",5000,0)*0.1+F5*500*0.1+IF(H5="Yes",5000,0)*0.1,0))</f>
        <v/>
      </c>
      <c r="R5" s="48">
        <f>IF(A5="","",ROUND(Q5/1000,1))</f>
        <v/>
      </c>
      <c r="S5" s="48">
        <f>IF(A5="","",RANK(R5,$R$2:$R$500,0))</f>
        <v/>
      </c>
    </row>
    <row r="6" ht="22" customHeight="1">
      <c r="A6" s="46" t="n"/>
      <c r="B6" s="50" t="n"/>
      <c r="C6" s="50" t="n"/>
      <c r="D6" s="50" t="n"/>
      <c r="E6" s="50" t="n"/>
      <c r="F6" s="46" t="n"/>
      <c r="G6" s="46" t="n"/>
      <c r="H6" s="46" t="n"/>
      <c r="I6" s="50" t="n"/>
      <c r="J6" s="50" t="n"/>
      <c r="K6" s="50">
        <f>IF(A6="","",B6+C6)</f>
        <v/>
      </c>
      <c r="L6" s="50">
        <f>IF(A6="","",K6/12)</f>
        <v/>
      </c>
      <c r="M6" s="50">
        <f>IF(A6="","",K6/2080)</f>
        <v/>
      </c>
      <c r="N6" s="50">
        <f>IF(A6="","",B6+C6+D6+E6+I6+J6)</f>
        <v/>
      </c>
      <c r="O6" s="50">
        <f>IF(A6="","",N6*0.25)</f>
        <v/>
      </c>
      <c r="P6" s="50">
        <f>IF(A6="","",N6-O6)</f>
        <v/>
      </c>
      <c r="Q6" s="50">
        <f>IF(A6="","",ROUND(B6*0.4+C6*0.1+D6*0.1+E6*0.1+IF(G6="Yes",5000,0)*0.1+F6*500*0.1+IF(H6="Yes",5000,0)*0.1,0))</f>
        <v/>
      </c>
      <c r="R6" s="46">
        <f>IF(A6="","",ROUND(Q6/1000,1))</f>
        <v/>
      </c>
      <c r="S6" s="46">
        <f>IF(A6="","",RANK(R6,$R$2:$R$500,0))</f>
        <v/>
      </c>
    </row>
    <row r="7" ht="22" customHeight="1">
      <c r="A7" s="48" t="n"/>
      <c r="B7" s="51" t="n"/>
      <c r="C7" s="51" t="n"/>
      <c r="D7" s="51" t="n"/>
      <c r="E7" s="51" t="n"/>
      <c r="F7" s="48" t="n"/>
      <c r="G7" s="48" t="n"/>
      <c r="H7" s="48" t="n"/>
      <c r="I7" s="51" t="n"/>
      <c r="J7" s="51" t="n"/>
      <c r="K7" s="51">
        <f>IF(A7="","",B7+C7)</f>
        <v/>
      </c>
      <c r="L7" s="51">
        <f>IF(A7="","",K7/12)</f>
        <v/>
      </c>
      <c r="M7" s="51">
        <f>IF(A7="","",K7/2080)</f>
        <v/>
      </c>
      <c r="N7" s="51">
        <f>IF(A7="","",B7+C7+D7+E7+I7+J7)</f>
        <v/>
      </c>
      <c r="O7" s="51">
        <f>IF(A7="","",N7*0.25)</f>
        <v/>
      </c>
      <c r="P7" s="51">
        <f>IF(A7="","",N7-O7)</f>
        <v/>
      </c>
      <c r="Q7" s="51">
        <f>IF(A7="","",ROUND(B7*0.4+C7*0.1+D7*0.1+E7*0.1+IF(G7="Yes",5000,0)*0.1+F7*500*0.1+IF(H7="Yes",5000,0)*0.1,0))</f>
        <v/>
      </c>
      <c r="R7" s="48">
        <f>IF(A7="","",ROUND(Q7/1000,1))</f>
        <v/>
      </c>
      <c r="S7" s="48">
        <f>IF(A7="","",RANK(R7,$R$2:$R$500,0))</f>
        <v/>
      </c>
    </row>
    <row r="8" ht="22" customHeight="1">
      <c r="A8" s="46" t="n"/>
      <c r="B8" s="50" t="n"/>
      <c r="C8" s="50" t="n"/>
      <c r="D8" s="50" t="n"/>
      <c r="E8" s="50" t="n"/>
      <c r="F8" s="46" t="n"/>
      <c r="G8" s="46" t="n"/>
      <c r="H8" s="46" t="n"/>
      <c r="I8" s="50" t="n"/>
      <c r="J8" s="50" t="n"/>
      <c r="K8" s="50">
        <f>IF(A8="","",B8+C8)</f>
        <v/>
      </c>
      <c r="L8" s="50">
        <f>IF(A8="","",K8/12)</f>
        <v/>
      </c>
      <c r="M8" s="50">
        <f>IF(A8="","",K8/2080)</f>
        <v/>
      </c>
      <c r="N8" s="50">
        <f>IF(A8="","",B8+C8+D8+E8+I8+J8)</f>
        <v/>
      </c>
      <c r="O8" s="50">
        <f>IF(A8="","",N8*0.25)</f>
        <v/>
      </c>
      <c r="P8" s="50">
        <f>IF(A8="","",N8-O8)</f>
        <v/>
      </c>
      <c r="Q8" s="50">
        <f>IF(A8="","",ROUND(B8*0.4+C8*0.1+D8*0.1+E8*0.1+IF(G8="Yes",5000,0)*0.1+F8*500*0.1+IF(H8="Yes",5000,0)*0.1,0))</f>
        <v/>
      </c>
      <c r="R8" s="46">
        <f>IF(A8="","",ROUND(Q8/1000,1))</f>
        <v/>
      </c>
      <c r="S8" s="46">
        <f>IF(A8="","",RANK(R8,$R$2:$R$500,0))</f>
        <v/>
      </c>
    </row>
    <row r="9" ht="22" customHeight="1">
      <c r="A9" s="48" t="n"/>
      <c r="B9" s="51" t="n"/>
      <c r="C9" s="51" t="n"/>
      <c r="D9" s="51" t="n"/>
      <c r="E9" s="51" t="n"/>
      <c r="F9" s="48" t="n"/>
      <c r="G9" s="48" t="n"/>
      <c r="H9" s="48" t="n"/>
      <c r="I9" s="51" t="n"/>
      <c r="J9" s="51" t="n"/>
      <c r="K9" s="51">
        <f>IF(A9="","",B9+C9)</f>
        <v/>
      </c>
      <c r="L9" s="51">
        <f>IF(A9="","",K9/12)</f>
        <v/>
      </c>
      <c r="M9" s="51">
        <f>IF(A9="","",K9/2080)</f>
        <v/>
      </c>
      <c r="N9" s="51">
        <f>IF(A9="","",B9+C9+D9+E9+I9+J9)</f>
        <v/>
      </c>
      <c r="O9" s="51">
        <f>IF(A9="","",N9*0.25)</f>
        <v/>
      </c>
      <c r="P9" s="51">
        <f>IF(A9="","",N9-O9)</f>
        <v/>
      </c>
      <c r="Q9" s="51">
        <f>IF(A9="","",ROUND(B9*0.4+C9*0.1+D9*0.1+E9*0.1+IF(G9="Yes",5000,0)*0.1+F9*500*0.1+IF(H9="Yes",5000,0)*0.1,0))</f>
        <v/>
      </c>
      <c r="R9" s="48">
        <f>IF(A9="","",ROUND(Q9/1000,1))</f>
        <v/>
      </c>
      <c r="S9" s="48">
        <f>IF(A9="","",RANK(R9,$R$2:$R$500,0))</f>
        <v/>
      </c>
    </row>
    <row r="10" ht="22" customHeight="1">
      <c r="A10" s="46" t="n"/>
      <c r="B10" s="50" t="n"/>
      <c r="C10" s="50" t="n"/>
      <c r="D10" s="50" t="n"/>
      <c r="E10" s="50" t="n"/>
      <c r="F10" s="46" t="n"/>
      <c r="G10" s="46" t="n"/>
      <c r="H10" s="46" t="n"/>
      <c r="I10" s="50" t="n"/>
      <c r="J10" s="50" t="n"/>
      <c r="K10" s="50">
        <f>IF(A10="","",B10+C10)</f>
        <v/>
      </c>
      <c r="L10" s="50">
        <f>IF(A10="","",K10/12)</f>
        <v/>
      </c>
      <c r="M10" s="50">
        <f>IF(A10="","",K10/2080)</f>
        <v/>
      </c>
      <c r="N10" s="50">
        <f>IF(A10="","",B10+C10+D10+E10+I10+J10)</f>
        <v/>
      </c>
      <c r="O10" s="50">
        <f>IF(A10="","",N10*0.25)</f>
        <v/>
      </c>
      <c r="P10" s="50">
        <f>IF(A10="","",N10-O10)</f>
        <v/>
      </c>
      <c r="Q10" s="50">
        <f>IF(A10="","",ROUND(B10*0.4+C10*0.1+D10*0.1+E10*0.1+IF(G10="Yes",5000,0)*0.1+F10*500*0.1+IF(H10="Yes",5000,0)*0.1,0))</f>
        <v/>
      </c>
      <c r="R10" s="46">
        <f>IF(A10="","",ROUND(Q10/1000,1))</f>
        <v/>
      </c>
      <c r="S10" s="46">
        <f>IF(A10="","",RANK(R10,$R$2:$R$500,0))</f>
        <v/>
      </c>
    </row>
    <row r="11" ht="22" customHeight="1">
      <c r="A11" s="48" t="n"/>
      <c r="B11" s="51" t="n"/>
      <c r="C11" s="51" t="n"/>
      <c r="D11" s="51" t="n"/>
      <c r="E11" s="51" t="n"/>
      <c r="F11" s="48" t="n"/>
      <c r="G11" s="48" t="n"/>
      <c r="H11" s="48" t="n"/>
      <c r="I11" s="51" t="n"/>
      <c r="J11" s="51" t="n"/>
      <c r="K11" s="51">
        <f>IF(A11="","",B11+C11)</f>
        <v/>
      </c>
      <c r="L11" s="51">
        <f>IF(A11="","",K11/12)</f>
        <v/>
      </c>
      <c r="M11" s="51">
        <f>IF(A11="","",K11/2080)</f>
        <v/>
      </c>
      <c r="N11" s="51">
        <f>IF(A11="","",B11+C11+D11+E11+I11+J11)</f>
        <v/>
      </c>
      <c r="O11" s="51">
        <f>IF(A11="","",N11*0.25)</f>
        <v/>
      </c>
      <c r="P11" s="51">
        <f>IF(A11="","",N11-O11)</f>
        <v/>
      </c>
      <c r="Q11" s="51">
        <f>IF(A11="","",ROUND(B11*0.4+C11*0.1+D11*0.1+E11*0.1+IF(G11="Yes",5000,0)*0.1+F11*500*0.1+IF(H11="Yes",5000,0)*0.1,0))</f>
        <v/>
      </c>
      <c r="R11" s="48">
        <f>IF(A11="","",ROUND(Q11/1000,1))</f>
        <v/>
      </c>
      <c r="S11" s="48">
        <f>IF(A11="","",RANK(R11,$R$2:$R$500,0))</f>
        <v/>
      </c>
    </row>
    <row r="12" ht="22" customHeight="1">
      <c r="A12" s="46" t="n"/>
      <c r="B12" s="50" t="n"/>
      <c r="C12" s="50" t="n"/>
      <c r="D12" s="50" t="n"/>
      <c r="E12" s="50" t="n"/>
      <c r="F12" s="46" t="n"/>
      <c r="G12" s="46" t="n"/>
      <c r="H12" s="46" t="n"/>
      <c r="I12" s="50" t="n"/>
      <c r="J12" s="50" t="n"/>
      <c r="K12" s="50">
        <f>IF(A12="","",B12+C12)</f>
        <v/>
      </c>
      <c r="L12" s="50">
        <f>IF(A12="","",K12/12)</f>
        <v/>
      </c>
      <c r="M12" s="50">
        <f>IF(A12="","",K12/2080)</f>
        <v/>
      </c>
      <c r="N12" s="50">
        <f>IF(A12="","",B12+C12+D12+E12+I12+J12)</f>
        <v/>
      </c>
      <c r="O12" s="50">
        <f>IF(A12="","",N12*0.25)</f>
        <v/>
      </c>
      <c r="P12" s="50">
        <f>IF(A12="","",N12-O12)</f>
        <v/>
      </c>
      <c r="Q12" s="50">
        <f>IF(A12="","",ROUND(B12*0.4+C12*0.1+D12*0.1+E12*0.1+IF(G12="Yes",5000,0)*0.1+F12*500*0.1+IF(H12="Yes",5000,0)*0.1,0))</f>
        <v/>
      </c>
      <c r="R12" s="46">
        <f>IF(A12="","",ROUND(Q12/1000,1))</f>
        <v/>
      </c>
      <c r="S12" s="46">
        <f>IF(A12="","",RANK(R12,$R$2:$R$500,0))</f>
        <v/>
      </c>
    </row>
    <row r="13" ht="22" customHeight="1">
      <c r="A13" s="48" t="n"/>
      <c r="B13" s="51" t="n"/>
      <c r="C13" s="51" t="n"/>
      <c r="D13" s="51" t="n"/>
      <c r="E13" s="51" t="n"/>
      <c r="F13" s="48" t="n"/>
      <c r="G13" s="48" t="n"/>
      <c r="H13" s="48" t="n"/>
      <c r="I13" s="51" t="n"/>
      <c r="J13" s="51" t="n"/>
      <c r="K13" s="51">
        <f>IF(A13="","",B13+C13)</f>
        <v/>
      </c>
      <c r="L13" s="51">
        <f>IF(A13="","",K13/12)</f>
        <v/>
      </c>
      <c r="M13" s="51">
        <f>IF(A13="","",K13/2080)</f>
        <v/>
      </c>
      <c r="N13" s="51">
        <f>IF(A13="","",B13+C13+D13+E13+I13+J13)</f>
        <v/>
      </c>
      <c r="O13" s="51">
        <f>IF(A13="","",N13*0.25)</f>
        <v/>
      </c>
      <c r="P13" s="51">
        <f>IF(A13="","",N13-O13)</f>
        <v/>
      </c>
      <c r="Q13" s="51">
        <f>IF(A13="","",ROUND(B13*0.4+C13*0.1+D13*0.1+E13*0.1+IF(G13="Yes",5000,0)*0.1+F13*500*0.1+IF(H13="Yes",5000,0)*0.1,0))</f>
        <v/>
      </c>
      <c r="R13" s="48">
        <f>IF(A13="","",ROUND(Q13/1000,1))</f>
        <v/>
      </c>
      <c r="S13" s="48">
        <f>IF(A13="","",RANK(R13,$R$2:$R$500,0))</f>
        <v/>
      </c>
    </row>
    <row r="14" ht="22" customHeight="1">
      <c r="A14" s="46" t="n"/>
      <c r="B14" s="50" t="n"/>
      <c r="C14" s="50" t="n"/>
      <c r="D14" s="50" t="n"/>
      <c r="E14" s="50" t="n"/>
      <c r="F14" s="46" t="n"/>
      <c r="G14" s="46" t="n"/>
      <c r="H14" s="46" t="n"/>
      <c r="I14" s="50" t="n"/>
      <c r="J14" s="50" t="n"/>
      <c r="K14" s="50">
        <f>IF(A14="","",B14+C14)</f>
        <v/>
      </c>
      <c r="L14" s="50">
        <f>IF(A14="","",K14/12)</f>
        <v/>
      </c>
      <c r="M14" s="50">
        <f>IF(A14="","",K14/2080)</f>
        <v/>
      </c>
      <c r="N14" s="50">
        <f>IF(A14="","",B14+C14+D14+E14+I14+J14)</f>
        <v/>
      </c>
      <c r="O14" s="50">
        <f>IF(A14="","",N14*0.25)</f>
        <v/>
      </c>
      <c r="P14" s="50">
        <f>IF(A14="","",N14-O14)</f>
        <v/>
      </c>
      <c r="Q14" s="50">
        <f>IF(A14="","",ROUND(B14*0.4+C14*0.1+D14*0.1+E14*0.1+IF(G14="Yes",5000,0)*0.1+F14*500*0.1+IF(H14="Yes",5000,0)*0.1,0))</f>
        <v/>
      </c>
      <c r="R14" s="46">
        <f>IF(A14="","",ROUND(Q14/1000,1))</f>
        <v/>
      </c>
      <c r="S14" s="46">
        <f>IF(A14="","",RANK(R14,$R$2:$R$500,0))</f>
        <v/>
      </c>
    </row>
    <row r="15" ht="22" customHeight="1">
      <c r="A15" s="48" t="n"/>
      <c r="B15" s="51" t="n"/>
      <c r="C15" s="51" t="n"/>
      <c r="D15" s="51" t="n"/>
      <c r="E15" s="51" t="n"/>
      <c r="F15" s="48" t="n"/>
      <c r="G15" s="48" t="n"/>
      <c r="H15" s="48" t="n"/>
      <c r="I15" s="51" t="n"/>
      <c r="J15" s="51" t="n"/>
      <c r="K15" s="51">
        <f>IF(A15="","",B15+C15)</f>
        <v/>
      </c>
      <c r="L15" s="51">
        <f>IF(A15="","",K15/12)</f>
        <v/>
      </c>
      <c r="M15" s="51">
        <f>IF(A15="","",K15/2080)</f>
        <v/>
      </c>
      <c r="N15" s="51">
        <f>IF(A15="","",B15+C15+D15+E15+I15+J15)</f>
        <v/>
      </c>
      <c r="O15" s="51">
        <f>IF(A15="","",N15*0.25)</f>
        <v/>
      </c>
      <c r="P15" s="51">
        <f>IF(A15="","",N15-O15)</f>
        <v/>
      </c>
      <c r="Q15" s="51">
        <f>IF(A15="","",ROUND(B15*0.4+C15*0.1+D15*0.1+E15*0.1+IF(G15="Yes",5000,0)*0.1+F15*500*0.1+IF(H15="Yes",5000,0)*0.1,0))</f>
        <v/>
      </c>
      <c r="R15" s="48">
        <f>IF(A15="","",ROUND(Q15/1000,1))</f>
        <v/>
      </c>
      <c r="S15" s="48">
        <f>IF(A15="","",RANK(R15,$R$2:$R$500,0))</f>
        <v/>
      </c>
    </row>
    <row r="16" ht="22" customHeight="1">
      <c r="A16" s="46" t="n"/>
      <c r="B16" s="50" t="n"/>
      <c r="C16" s="50" t="n"/>
      <c r="D16" s="50" t="n"/>
      <c r="E16" s="50" t="n"/>
      <c r="F16" s="46" t="n"/>
      <c r="G16" s="46" t="n"/>
      <c r="H16" s="46" t="n"/>
      <c r="I16" s="50" t="n"/>
      <c r="J16" s="50" t="n"/>
      <c r="K16" s="50">
        <f>IF(A16="","",B16+C16)</f>
        <v/>
      </c>
      <c r="L16" s="50">
        <f>IF(A16="","",K16/12)</f>
        <v/>
      </c>
      <c r="M16" s="50">
        <f>IF(A16="","",K16/2080)</f>
        <v/>
      </c>
      <c r="N16" s="50">
        <f>IF(A16="","",B16+C16+D16+E16+I16+J16)</f>
        <v/>
      </c>
      <c r="O16" s="50">
        <f>IF(A16="","",N16*0.25)</f>
        <v/>
      </c>
      <c r="P16" s="50">
        <f>IF(A16="","",N16-O16)</f>
        <v/>
      </c>
      <c r="Q16" s="50">
        <f>IF(A16="","",ROUND(B16*0.4+C16*0.1+D16*0.1+E16*0.1+IF(G16="Yes",5000,0)*0.1+F16*500*0.1+IF(H16="Yes",5000,0)*0.1,0))</f>
        <v/>
      </c>
      <c r="R16" s="46">
        <f>IF(A16="","",ROUND(Q16/1000,1))</f>
        <v/>
      </c>
      <c r="S16" s="46">
        <f>IF(A16="","",RANK(R16,$R$2:$R$500,0))</f>
        <v/>
      </c>
    </row>
    <row r="17" ht="22" customHeight="1">
      <c r="A17" s="48" t="n"/>
      <c r="B17" s="51" t="n"/>
      <c r="C17" s="51" t="n"/>
      <c r="D17" s="51" t="n"/>
      <c r="E17" s="51" t="n"/>
      <c r="F17" s="48" t="n"/>
      <c r="G17" s="48" t="n"/>
      <c r="H17" s="48" t="n"/>
      <c r="I17" s="51" t="n"/>
      <c r="J17" s="51" t="n"/>
      <c r="K17" s="51">
        <f>IF(A17="","",B17+C17)</f>
        <v/>
      </c>
      <c r="L17" s="51">
        <f>IF(A17="","",K17/12)</f>
        <v/>
      </c>
      <c r="M17" s="51">
        <f>IF(A17="","",K17/2080)</f>
        <v/>
      </c>
      <c r="N17" s="51">
        <f>IF(A17="","",B17+C17+D17+E17+I17+J17)</f>
        <v/>
      </c>
      <c r="O17" s="51">
        <f>IF(A17="","",N17*0.25)</f>
        <v/>
      </c>
      <c r="P17" s="51">
        <f>IF(A17="","",N17-O17)</f>
        <v/>
      </c>
      <c r="Q17" s="51">
        <f>IF(A17="","",ROUND(B17*0.4+C17*0.1+D17*0.1+E17*0.1+IF(G17="Yes",5000,0)*0.1+F17*500*0.1+IF(H17="Yes",5000,0)*0.1,0))</f>
        <v/>
      </c>
      <c r="R17" s="48">
        <f>IF(A17="","",ROUND(Q17/1000,1))</f>
        <v/>
      </c>
      <c r="S17" s="48">
        <f>IF(A17="","",RANK(R17,$R$2:$R$500,0))</f>
        <v/>
      </c>
    </row>
    <row r="18" ht="22" customHeight="1">
      <c r="A18" s="46" t="n"/>
      <c r="B18" s="50" t="n"/>
      <c r="C18" s="50" t="n"/>
      <c r="D18" s="50" t="n"/>
      <c r="E18" s="50" t="n"/>
      <c r="F18" s="46" t="n"/>
      <c r="G18" s="46" t="n"/>
      <c r="H18" s="46" t="n"/>
      <c r="I18" s="50" t="n"/>
      <c r="J18" s="50" t="n"/>
      <c r="K18" s="50">
        <f>IF(A18="","",B18+C18)</f>
        <v/>
      </c>
      <c r="L18" s="50">
        <f>IF(A18="","",K18/12)</f>
        <v/>
      </c>
      <c r="M18" s="50">
        <f>IF(A18="","",K18/2080)</f>
        <v/>
      </c>
      <c r="N18" s="50">
        <f>IF(A18="","",B18+C18+D18+E18+I18+J18)</f>
        <v/>
      </c>
      <c r="O18" s="50">
        <f>IF(A18="","",N18*0.25)</f>
        <v/>
      </c>
      <c r="P18" s="50">
        <f>IF(A18="","",N18-O18)</f>
        <v/>
      </c>
      <c r="Q18" s="50">
        <f>IF(A18="","",ROUND(B18*0.4+C18*0.1+D18*0.1+E18*0.1+IF(G18="Yes",5000,0)*0.1+F18*500*0.1+IF(H18="Yes",5000,0)*0.1,0))</f>
        <v/>
      </c>
      <c r="R18" s="46">
        <f>IF(A18="","",ROUND(Q18/1000,1))</f>
        <v/>
      </c>
      <c r="S18" s="46">
        <f>IF(A18="","",RANK(R18,$R$2:$R$500,0))</f>
        <v/>
      </c>
    </row>
    <row r="19" ht="22" customHeight="1">
      <c r="A19" s="48" t="n"/>
      <c r="B19" s="51" t="n"/>
      <c r="C19" s="51" t="n"/>
      <c r="D19" s="51" t="n"/>
      <c r="E19" s="51" t="n"/>
      <c r="F19" s="48" t="n"/>
      <c r="G19" s="48" t="n"/>
      <c r="H19" s="48" t="n"/>
      <c r="I19" s="51" t="n"/>
      <c r="J19" s="51" t="n"/>
      <c r="K19" s="51">
        <f>IF(A19="","",B19+C19)</f>
        <v/>
      </c>
      <c r="L19" s="51">
        <f>IF(A19="","",K19/12)</f>
        <v/>
      </c>
      <c r="M19" s="51">
        <f>IF(A19="","",K19/2080)</f>
        <v/>
      </c>
      <c r="N19" s="51">
        <f>IF(A19="","",B19+C19+D19+E19+I19+J19)</f>
        <v/>
      </c>
      <c r="O19" s="51">
        <f>IF(A19="","",N19*0.25)</f>
        <v/>
      </c>
      <c r="P19" s="51">
        <f>IF(A19="","",N19-O19)</f>
        <v/>
      </c>
      <c r="Q19" s="51">
        <f>IF(A19="","",ROUND(B19*0.4+C19*0.1+D19*0.1+E19*0.1+IF(G19="Yes",5000,0)*0.1+F19*500*0.1+IF(H19="Yes",5000,0)*0.1,0))</f>
        <v/>
      </c>
      <c r="R19" s="48">
        <f>IF(A19="","",ROUND(Q19/1000,1))</f>
        <v/>
      </c>
      <c r="S19" s="48">
        <f>IF(A19="","",RANK(R19,$R$2:$R$500,0))</f>
        <v/>
      </c>
    </row>
    <row r="20" ht="22" customHeight="1">
      <c r="A20" s="46" t="n"/>
      <c r="B20" s="50" t="n"/>
      <c r="C20" s="50" t="n"/>
      <c r="D20" s="50" t="n"/>
      <c r="E20" s="50" t="n"/>
      <c r="F20" s="46" t="n"/>
      <c r="G20" s="46" t="n"/>
      <c r="H20" s="46" t="n"/>
      <c r="I20" s="50" t="n"/>
      <c r="J20" s="50" t="n"/>
      <c r="K20" s="50">
        <f>IF(A20="","",B20+C20)</f>
        <v/>
      </c>
      <c r="L20" s="50">
        <f>IF(A20="","",K20/12)</f>
        <v/>
      </c>
      <c r="M20" s="50">
        <f>IF(A20="","",K20/2080)</f>
        <v/>
      </c>
      <c r="N20" s="50">
        <f>IF(A20="","",B20+C20+D20+E20+I20+J20)</f>
        <v/>
      </c>
      <c r="O20" s="50">
        <f>IF(A20="","",N20*0.25)</f>
        <v/>
      </c>
      <c r="P20" s="50">
        <f>IF(A20="","",N20-O20)</f>
        <v/>
      </c>
      <c r="Q20" s="50">
        <f>IF(A20="","",ROUND(B20*0.4+C20*0.1+D20*0.1+E20*0.1+IF(G20="Yes",5000,0)*0.1+F20*500*0.1+IF(H20="Yes",5000,0)*0.1,0))</f>
        <v/>
      </c>
      <c r="R20" s="46">
        <f>IF(A20="","",ROUND(Q20/1000,1))</f>
        <v/>
      </c>
      <c r="S20" s="46">
        <f>IF(A20="","",RANK(R20,$R$2:$R$500,0))</f>
        <v/>
      </c>
    </row>
    <row r="21" ht="22" customHeight="1">
      <c r="A21" s="48" t="n"/>
      <c r="B21" s="51" t="n"/>
      <c r="C21" s="51" t="n"/>
      <c r="D21" s="51" t="n"/>
      <c r="E21" s="51" t="n"/>
      <c r="F21" s="48" t="n"/>
      <c r="G21" s="48" t="n"/>
      <c r="H21" s="48" t="n"/>
      <c r="I21" s="51" t="n"/>
      <c r="J21" s="51" t="n"/>
      <c r="K21" s="51">
        <f>IF(A21="","",B21+C21)</f>
        <v/>
      </c>
      <c r="L21" s="51">
        <f>IF(A21="","",K21/12)</f>
        <v/>
      </c>
      <c r="M21" s="51">
        <f>IF(A21="","",K21/2080)</f>
        <v/>
      </c>
      <c r="N21" s="51">
        <f>IF(A21="","",B21+C21+D21+E21+I21+J21)</f>
        <v/>
      </c>
      <c r="O21" s="51">
        <f>IF(A21="","",N21*0.25)</f>
        <v/>
      </c>
      <c r="P21" s="51">
        <f>IF(A21="","",N21-O21)</f>
        <v/>
      </c>
      <c r="Q21" s="51">
        <f>IF(A21="","",ROUND(B21*0.4+C21*0.1+D21*0.1+E21*0.1+IF(G21="Yes",5000,0)*0.1+F21*500*0.1+IF(H21="Yes",5000,0)*0.1,0))</f>
        <v/>
      </c>
      <c r="R21" s="48">
        <f>IF(A21="","",ROUND(Q21/1000,1))</f>
        <v/>
      </c>
      <c r="S21" s="48">
        <f>IF(A21="","",RANK(R21,$R$2:$R$500,0))</f>
        <v/>
      </c>
    </row>
    <row r="22" ht="22" customHeight="1">
      <c r="A22" s="46" t="n"/>
      <c r="B22" s="50" t="n"/>
      <c r="C22" s="50" t="n"/>
      <c r="D22" s="50" t="n"/>
      <c r="E22" s="50" t="n"/>
      <c r="F22" s="46" t="n"/>
      <c r="G22" s="46" t="n"/>
      <c r="H22" s="46" t="n"/>
      <c r="I22" s="50" t="n"/>
      <c r="J22" s="50" t="n"/>
      <c r="K22" s="50">
        <f>IF(A22="","",B22+C22)</f>
        <v/>
      </c>
      <c r="L22" s="50">
        <f>IF(A22="","",K22/12)</f>
        <v/>
      </c>
      <c r="M22" s="50">
        <f>IF(A22="","",K22/2080)</f>
        <v/>
      </c>
      <c r="N22" s="50">
        <f>IF(A22="","",B22+C22+D22+E22+I22+J22)</f>
        <v/>
      </c>
      <c r="O22" s="50">
        <f>IF(A22="","",N22*0.25)</f>
        <v/>
      </c>
      <c r="P22" s="50">
        <f>IF(A22="","",N22-O22)</f>
        <v/>
      </c>
      <c r="Q22" s="50">
        <f>IF(A22="","",ROUND(B22*0.4+C22*0.1+D22*0.1+E22*0.1+IF(G22="Yes",5000,0)*0.1+F22*500*0.1+IF(H22="Yes",5000,0)*0.1,0))</f>
        <v/>
      </c>
      <c r="R22" s="46">
        <f>IF(A22="","",ROUND(Q22/1000,1))</f>
        <v/>
      </c>
      <c r="S22" s="46">
        <f>IF(A22="","",RANK(R22,$R$2:$R$500,0))</f>
        <v/>
      </c>
    </row>
    <row r="23" ht="22" customHeight="1">
      <c r="A23" s="48" t="n"/>
      <c r="B23" s="51" t="n"/>
      <c r="C23" s="51" t="n"/>
      <c r="D23" s="51" t="n"/>
      <c r="E23" s="51" t="n"/>
      <c r="F23" s="48" t="n"/>
      <c r="G23" s="48" t="n"/>
      <c r="H23" s="48" t="n"/>
      <c r="I23" s="51" t="n"/>
      <c r="J23" s="51" t="n"/>
      <c r="K23" s="51">
        <f>IF(A23="","",B23+C23)</f>
        <v/>
      </c>
      <c r="L23" s="51">
        <f>IF(A23="","",K23/12)</f>
        <v/>
      </c>
      <c r="M23" s="51">
        <f>IF(A23="","",K23/2080)</f>
        <v/>
      </c>
      <c r="N23" s="51">
        <f>IF(A23="","",B23+C23+D23+E23+I23+J23)</f>
        <v/>
      </c>
      <c r="O23" s="51">
        <f>IF(A23="","",N23*0.25)</f>
        <v/>
      </c>
      <c r="P23" s="51">
        <f>IF(A23="","",N23-O23)</f>
        <v/>
      </c>
      <c r="Q23" s="51">
        <f>IF(A23="","",ROUND(B23*0.4+C23*0.1+D23*0.1+E23*0.1+IF(G23="Yes",5000,0)*0.1+F23*500*0.1+IF(H23="Yes",5000,0)*0.1,0))</f>
        <v/>
      </c>
      <c r="R23" s="48">
        <f>IF(A23="","",ROUND(Q23/1000,1))</f>
        <v/>
      </c>
      <c r="S23" s="48">
        <f>IF(A23="","",RANK(R23,$R$2:$R$500,0))</f>
        <v/>
      </c>
    </row>
    <row r="24" ht="22" customHeight="1">
      <c r="A24" s="46" t="n"/>
      <c r="B24" s="50" t="n"/>
      <c r="C24" s="50" t="n"/>
      <c r="D24" s="50" t="n"/>
      <c r="E24" s="50" t="n"/>
      <c r="F24" s="46" t="n"/>
      <c r="G24" s="46" t="n"/>
      <c r="H24" s="46" t="n"/>
      <c r="I24" s="50" t="n"/>
      <c r="J24" s="50" t="n"/>
      <c r="K24" s="50">
        <f>IF(A24="","",B24+C24)</f>
        <v/>
      </c>
      <c r="L24" s="50">
        <f>IF(A24="","",K24/12)</f>
        <v/>
      </c>
      <c r="M24" s="50">
        <f>IF(A24="","",K24/2080)</f>
        <v/>
      </c>
      <c r="N24" s="50">
        <f>IF(A24="","",B24+C24+D24+E24+I24+J24)</f>
        <v/>
      </c>
      <c r="O24" s="50">
        <f>IF(A24="","",N24*0.25)</f>
        <v/>
      </c>
      <c r="P24" s="50">
        <f>IF(A24="","",N24-O24)</f>
        <v/>
      </c>
      <c r="Q24" s="50">
        <f>IF(A24="","",ROUND(B24*0.4+C24*0.1+D24*0.1+E24*0.1+IF(G24="Yes",5000,0)*0.1+F24*500*0.1+IF(H24="Yes",5000,0)*0.1,0))</f>
        <v/>
      </c>
      <c r="R24" s="46">
        <f>IF(A24="","",ROUND(Q24/1000,1))</f>
        <v/>
      </c>
      <c r="S24" s="46">
        <f>IF(A24="","",RANK(R24,$R$2:$R$500,0))</f>
        <v/>
      </c>
    </row>
    <row r="25" ht="22" customHeight="1">
      <c r="A25" s="48" t="n"/>
      <c r="B25" s="51" t="n"/>
      <c r="C25" s="51" t="n"/>
      <c r="D25" s="51" t="n"/>
      <c r="E25" s="51" t="n"/>
      <c r="F25" s="48" t="n"/>
      <c r="G25" s="48" t="n"/>
      <c r="H25" s="48" t="n"/>
      <c r="I25" s="51" t="n"/>
      <c r="J25" s="51" t="n"/>
      <c r="K25" s="51">
        <f>IF(A25="","",B25+C25)</f>
        <v/>
      </c>
      <c r="L25" s="51">
        <f>IF(A25="","",K25/12)</f>
        <v/>
      </c>
      <c r="M25" s="51">
        <f>IF(A25="","",K25/2080)</f>
        <v/>
      </c>
      <c r="N25" s="51">
        <f>IF(A25="","",B25+C25+D25+E25+I25+J25)</f>
        <v/>
      </c>
      <c r="O25" s="51">
        <f>IF(A25="","",N25*0.25)</f>
        <v/>
      </c>
      <c r="P25" s="51">
        <f>IF(A25="","",N25-O25)</f>
        <v/>
      </c>
      <c r="Q25" s="51">
        <f>IF(A25="","",ROUND(B25*0.4+C25*0.1+D25*0.1+E25*0.1+IF(G25="Yes",5000,0)*0.1+F25*500*0.1+IF(H25="Yes",5000,0)*0.1,0))</f>
        <v/>
      </c>
      <c r="R25" s="48">
        <f>IF(A25="","",ROUND(Q25/1000,1))</f>
        <v/>
      </c>
      <c r="S25" s="48">
        <f>IF(A25="","",RANK(R25,$R$2:$R$500,0))</f>
        <v/>
      </c>
    </row>
    <row r="26" ht="22" customHeight="1">
      <c r="A26" s="46" t="n"/>
      <c r="B26" s="50" t="n"/>
      <c r="C26" s="50" t="n"/>
      <c r="D26" s="50" t="n"/>
      <c r="E26" s="50" t="n"/>
      <c r="F26" s="46" t="n"/>
      <c r="G26" s="46" t="n"/>
      <c r="H26" s="46" t="n"/>
      <c r="I26" s="50" t="n"/>
      <c r="J26" s="50" t="n"/>
      <c r="K26" s="50">
        <f>IF(A26="","",B26+C26)</f>
        <v/>
      </c>
      <c r="L26" s="50">
        <f>IF(A26="","",K26/12)</f>
        <v/>
      </c>
      <c r="M26" s="50">
        <f>IF(A26="","",K26/2080)</f>
        <v/>
      </c>
      <c r="N26" s="50">
        <f>IF(A26="","",B26+C26+D26+E26+I26+J26)</f>
        <v/>
      </c>
      <c r="O26" s="50">
        <f>IF(A26="","",N26*0.25)</f>
        <v/>
      </c>
      <c r="P26" s="50">
        <f>IF(A26="","",N26-O26)</f>
        <v/>
      </c>
      <c r="Q26" s="50">
        <f>IF(A26="","",ROUND(B26*0.4+C26*0.1+D26*0.1+E26*0.1+IF(G26="Yes",5000,0)*0.1+F26*500*0.1+IF(H26="Yes",5000,0)*0.1,0))</f>
        <v/>
      </c>
      <c r="R26" s="46">
        <f>IF(A26="","",ROUND(Q26/1000,1))</f>
        <v/>
      </c>
      <c r="S26" s="46">
        <f>IF(A26="","",RANK(R26,$R$2:$R$500,0))</f>
        <v/>
      </c>
    </row>
    <row r="27" ht="22" customHeight="1">
      <c r="A27" s="48" t="n"/>
      <c r="B27" s="51" t="n"/>
      <c r="C27" s="51" t="n"/>
      <c r="D27" s="51" t="n"/>
      <c r="E27" s="51" t="n"/>
      <c r="F27" s="48" t="n"/>
      <c r="G27" s="48" t="n"/>
      <c r="H27" s="48" t="n"/>
      <c r="I27" s="51" t="n"/>
      <c r="J27" s="51" t="n"/>
      <c r="K27" s="51">
        <f>IF(A27="","",B27+C27)</f>
        <v/>
      </c>
      <c r="L27" s="51">
        <f>IF(A27="","",K27/12)</f>
        <v/>
      </c>
      <c r="M27" s="51">
        <f>IF(A27="","",K27/2080)</f>
        <v/>
      </c>
      <c r="N27" s="51">
        <f>IF(A27="","",B27+C27+D27+E27+I27+J27)</f>
        <v/>
      </c>
      <c r="O27" s="51">
        <f>IF(A27="","",N27*0.25)</f>
        <v/>
      </c>
      <c r="P27" s="51">
        <f>IF(A27="","",N27-O27)</f>
        <v/>
      </c>
      <c r="Q27" s="51">
        <f>IF(A27="","",ROUND(B27*0.4+C27*0.1+D27*0.1+E27*0.1+IF(G27="Yes",5000,0)*0.1+F27*500*0.1+IF(H27="Yes",5000,0)*0.1,0))</f>
        <v/>
      </c>
      <c r="R27" s="48">
        <f>IF(A27="","",ROUND(Q27/1000,1))</f>
        <v/>
      </c>
      <c r="S27" s="48">
        <f>IF(A27="","",RANK(R27,$R$2:$R$500,0))</f>
        <v/>
      </c>
    </row>
    <row r="28" ht="22" customHeight="1">
      <c r="A28" s="46" t="n"/>
      <c r="B28" s="50" t="n"/>
      <c r="C28" s="50" t="n"/>
      <c r="D28" s="50" t="n"/>
      <c r="E28" s="50" t="n"/>
      <c r="F28" s="46" t="n"/>
      <c r="G28" s="46" t="n"/>
      <c r="H28" s="46" t="n"/>
      <c r="I28" s="50" t="n"/>
      <c r="J28" s="50" t="n"/>
      <c r="K28" s="50">
        <f>IF(A28="","",B28+C28)</f>
        <v/>
      </c>
      <c r="L28" s="50">
        <f>IF(A28="","",K28/12)</f>
        <v/>
      </c>
      <c r="M28" s="50">
        <f>IF(A28="","",K28/2080)</f>
        <v/>
      </c>
      <c r="N28" s="50">
        <f>IF(A28="","",B28+C28+D28+E28+I28+J28)</f>
        <v/>
      </c>
      <c r="O28" s="50">
        <f>IF(A28="","",N28*0.25)</f>
        <v/>
      </c>
      <c r="P28" s="50">
        <f>IF(A28="","",N28-O28)</f>
        <v/>
      </c>
      <c r="Q28" s="50">
        <f>IF(A28="","",ROUND(B28*0.4+C28*0.1+D28*0.1+E28*0.1+IF(G28="Yes",5000,0)*0.1+F28*500*0.1+IF(H28="Yes",5000,0)*0.1,0))</f>
        <v/>
      </c>
      <c r="R28" s="46">
        <f>IF(A28="","",ROUND(Q28/1000,1))</f>
        <v/>
      </c>
      <c r="S28" s="46">
        <f>IF(A28="","",RANK(R28,$R$2:$R$500,0))</f>
        <v/>
      </c>
    </row>
    <row r="29" ht="22" customHeight="1">
      <c r="A29" s="48" t="n"/>
      <c r="B29" s="51" t="n"/>
      <c r="C29" s="51" t="n"/>
      <c r="D29" s="51" t="n"/>
      <c r="E29" s="51" t="n"/>
      <c r="F29" s="48" t="n"/>
      <c r="G29" s="48" t="n"/>
      <c r="H29" s="48" t="n"/>
      <c r="I29" s="51" t="n"/>
      <c r="J29" s="51" t="n"/>
      <c r="K29" s="51">
        <f>IF(A29="","",B29+C29)</f>
        <v/>
      </c>
      <c r="L29" s="51">
        <f>IF(A29="","",K29/12)</f>
        <v/>
      </c>
      <c r="M29" s="51">
        <f>IF(A29="","",K29/2080)</f>
        <v/>
      </c>
      <c r="N29" s="51">
        <f>IF(A29="","",B29+C29+D29+E29+I29+J29)</f>
        <v/>
      </c>
      <c r="O29" s="51">
        <f>IF(A29="","",N29*0.25)</f>
        <v/>
      </c>
      <c r="P29" s="51">
        <f>IF(A29="","",N29-O29)</f>
        <v/>
      </c>
      <c r="Q29" s="51">
        <f>IF(A29="","",ROUND(B29*0.4+C29*0.1+D29*0.1+E29*0.1+IF(G29="Yes",5000,0)*0.1+F29*500*0.1+IF(H29="Yes",5000,0)*0.1,0))</f>
        <v/>
      </c>
      <c r="R29" s="48">
        <f>IF(A29="","",ROUND(Q29/1000,1))</f>
        <v/>
      </c>
      <c r="S29" s="48">
        <f>IF(A29="","",RANK(R29,$R$2:$R$500,0))</f>
        <v/>
      </c>
    </row>
    <row r="30" ht="22" customHeight="1">
      <c r="A30" s="46" t="n"/>
      <c r="B30" s="50" t="n"/>
      <c r="C30" s="50" t="n"/>
      <c r="D30" s="50" t="n"/>
      <c r="E30" s="50" t="n"/>
      <c r="F30" s="46" t="n"/>
      <c r="G30" s="46" t="n"/>
      <c r="H30" s="46" t="n"/>
      <c r="I30" s="50" t="n"/>
      <c r="J30" s="50" t="n"/>
      <c r="K30" s="50">
        <f>IF(A30="","",B30+C30)</f>
        <v/>
      </c>
      <c r="L30" s="50">
        <f>IF(A30="","",K30/12)</f>
        <v/>
      </c>
      <c r="M30" s="50">
        <f>IF(A30="","",K30/2080)</f>
        <v/>
      </c>
      <c r="N30" s="50">
        <f>IF(A30="","",B30+C30+D30+E30+I30+J30)</f>
        <v/>
      </c>
      <c r="O30" s="50">
        <f>IF(A30="","",N30*0.25)</f>
        <v/>
      </c>
      <c r="P30" s="50">
        <f>IF(A30="","",N30-O30)</f>
        <v/>
      </c>
      <c r="Q30" s="50">
        <f>IF(A30="","",ROUND(B30*0.4+C30*0.1+D30*0.1+E30*0.1+IF(G30="Yes",5000,0)*0.1+F30*500*0.1+IF(H30="Yes",5000,0)*0.1,0))</f>
        <v/>
      </c>
      <c r="R30" s="46">
        <f>IF(A30="","",ROUND(Q30/1000,1))</f>
        <v/>
      </c>
      <c r="S30" s="46">
        <f>IF(A30="","",RANK(R30,$R$2:$R$500,0))</f>
        <v/>
      </c>
    </row>
    <row r="31" ht="22" customHeight="1">
      <c r="A31" s="48" t="n"/>
      <c r="B31" s="51" t="n"/>
      <c r="C31" s="51" t="n"/>
      <c r="D31" s="51" t="n"/>
      <c r="E31" s="51" t="n"/>
      <c r="F31" s="48" t="n"/>
      <c r="G31" s="48" t="n"/>
      <c r="H31" s="48" t="n"/>
      <c r="I31" s="51" t="n"/>
      <c r="J31" s="51" t="n"/>
      <c r="K31" s="51">
        <f>IF(A31="","",B31+C31)</f>
        <v/>
      </c>
      <c r="L31" s="51">
        <f>IF(A31="","",K31/12)</f>
        <v/>
      </c>
      <c r="M31" s="51">
        <f>IF(A31="","",K31/2080)</f>
        <v/>
      </c>
      <c r="N31" s="51">
        <f>IF(A31="","",B31+C31+D31+E31+I31+J31)</f>
        <v/>
      </c>
      <c r="O31" s="51">
        <f>IF(A31="","",N31*0.25)</f>
        <v/>
      </c>
      <c r="P31" s="51">
        <f>IF(A31="","",N31-O31)</f>
        <v/>
      </c>
      <c r="Q31" s="51">
        <f>IF(A31="","",ROUND(B31*0.4+C31*0.1+D31*0.1+E31*0.1+IF(G31="Yes",5000,0)*0.1+F31*500*0.1+IF(H31="Yes",5000,0)*0.1,0))</f>
        <v/>
      </c>
      <c r="R31" s="48">
        <f>IF(A31="","",ROUND(Q31/1000,1))</f>
        <v/>
      </c>
      <c r="S31" s="48">
        <f>IF(A31="","",RANK(R31,$R$2:$R$500,0))</f>
        <v/>
      </c>
    </row>
    <row r="32" ht="22" customHeight="1">
      <c r="A32" s="46" t="n"/>
      <c r="B32" s="50" t="n"/>
      <c r="C32" s="50" t="n"/>
      <c r="D32" s="50" t="n"/>
      <c r="E32" s="50" t="n"/>
      <c r="F32" s="46" t="n"/>
      <c r="G32" s="46" t="n"/>
      <c r="H32" s="46" t="n"/>
      <c r="I32" s="50" t="n"/>
      <c r="J32" s="50" t="n"/>
      <c r="K32" s="50">
        <f>IF(A32="","",B32+C32)</f>
        <v/>
      </c>
      <c r="L32" s="50">
        <f>IF(A32="","",K32/12)</f>
        <v/>
      </c>
      <c r="M32" s="50">
        <f>IF(A32="","",K32/2080)</f>
        <v/>
      </c>
      <c r="N32" s="50">
        <f>IF(A32="","",B32+C32+D32+E32+I32+J32)</f>
        <v/>
      </c>
      <c r="O32" s="50">
        <f>IF(A32="","",N32*0.25)</f>
        <v/>
      </c>
      <c r="P32" s="50">
        <f>IF(A32="","",N32-O32)</f>
        <v/>
      </c>
      <c r="Q32" s="50">
        <f>IF(A32="","",ROUND(B32*0.4+C32*0.1+D32*0.1+E32*0.1+IF(G32="Yes",5000,0)*0.1+F32*500*0.1+IF(H32="Yes",5000,0)*0.1,0))</f>
        <v/>
      </c>
      <c r="R32" s="46">
        <f>IF(A32="","",ROUND(Q32/1000,1))</f>
        <v/>
      </c>
      <c r="S32" s="46">
        <f>IF(A32="","",RANK(R32,$R$2:$R$500,0))</f>
        <v/>
      </c>
    </row>
    <row r="33" ht="22" customHeight="1">
      <c r="A33" s="48" t="n"/>
      <c r="B33" s="51" t="n"/>
      <c r="C33" s="51" t="n"/>
      <c r="D33" s="51" t="n"/>
      <c r="E33" s="51" t="n"/>
      <c r="F33" s="48" t="n"/>
      <c r="G33" s="48" t="n"/>
      <c r="H33" s="48" t="n"/>
      <c r="I33" s="51" t="n"/>
      <c r="J33" s="51" t="n"/>
      <c r="K33" s="51">
        <f>IF(A33="","",B33+C33)</f>
        <v/>
      </c>
      <c r="L33" s="51">
        <f>IF(A33="","",K33/12)</f>
        <v/>
      </c>
      <c r="M33" s="51">
        <f>IF(A33="","",K33/2080)</f>
        <v/>
      </c>
      <c r="N33" s="51">
        <f>IF(A33="","",B33+C33+D33+E33+I33+J33)</f>
        <v/>
      </c>
      <c r="O33" s="51">
        <f>IF(A33="","",N33*0.25)</f>
        <v/>
      </c>
      <c r="P33" s="51">
        <f>IF(A33="","",N33-O33)</f>
        <v/>
      </c>
      <c r="Q33" s="51">
        <f>IF(A33="","",ROUND(B33*0.4+C33*0.1+D33*0.1+E33*0.1+IF(G33="Yes",5000,0)*0.1+F33*500*0.1+IF(H33="Yes",5000,0)*0.1,0))</f>
        <v/>
      </c>
      <c r="R33" s="48">
        <f>IF(A33="","",ROUND(Q33/1000,1))</f>
        <v/>
      </c>
      <c r="S33" s="48">
        <f>IF(A33="","",RANK(R33,$R$2:$R$500,0))</f>
        <v/>
      </c>
    </row>
    <row r="34" ht="22" customHeight="1">
      <c r="A34" s="46" t="n"/>
      <c r="B34" s="50" t="n"/>
      <c r="C34" s="50" t="n"/>
      <c r="D34" s="50" t="n"/>
      <c r="E34" s="50" t="n"/>
      <c r="F34" s="46" t="n"/>
      <c r="G34" s="46" t="n"/>
      <c r="H34" s="46" t="n"/>
      <c r="I34" s="50" t="n"/>
      <c r="J34" s="50" t="n"/>
      <c r="K34" s="50">
        <f>IF(A34="","",B34+C34)</f>
        <v/>
      </c>
      <c r="L34" s="50">
        <f>IF(A34="","",K34/12)</f>
        <v/>
      </c>
      <c r="M34" s="50">
        <f>IF(A34="","",K34/2080)</f>
        <v/>
      </c>
      <c r="N34" s="50">
        <f>IF(A34="","",B34+C34+D34+E34+I34+J34)</f>
        <v/>
      </c>
      <c r="O34" s="50">
        <f>IF(A34="","",N34*0.25)</f>
        <v/>
      </c>
      <c r="P34" s="50">
        <f>IF(A34="","",N34-O34)</f>
        <v/>
      </c>
      <c r="Q34" s="50">
        <f>IF(A34="","",ROUND(B34*0.4+C34*0.1+D34*0.1+E34*0.1+IF(G34="Yes",5000,0)*0.1+F34*500*0.1+IF(H34="Yes",5000,0)*0.1,0))</f>
        <v/>
      </c>
      <c r="R34" s="46">
        <f>IF(A34="","",ROUND(Q34/1000,1))</f>
        <v/>
      </c>
      <c r="S34" s="46">
        <f>IF(A34="","",RANK(R34,$R$2:$R$500,0))</f>
        <v/>
      </c>
    </row>
    <row r="35" ht="22" customHeight="1">
      <c r="A35" s="48" t="n"/>
      <c r="B35" s="51" t="n"/>
      <c r="C35" s="51" t="n"/>
      <c r="D35" s="51" t="n"/>
      <c r="E35" s="51" t="n"/>
      <c r="F35" s="48" t="n"/>
      <c r="G35" s="48" t="n"/>
      <c r="H35" s="48" t="n"/>
      <c r="I35" s="51" t="n"/>
      <c r="J35" s="51" t="n"/>
      <c r="K35" s="51">
        <f>IF(A35="","",B35+C35)</f>
        <v/>
      </c>
      <c r="L35" s="51">
        <f>IF(A35="","",K35/12)</f>
        <v/>
      </c>
      <c r="M35" s="51">
        <f>IF(A35="","",K35/2080)</f>
        <v/>
      </c>
      <c r="N35" s="51">
        <f>IF(A35="","",B35+C35+D35+E35+I35+J35)</f>
        <v/>
      </c>
      <c r="O35" s="51">
        <f>IF(A35="","",N35*0.25)</f>
        <v/>
      </c>
      <c r="P35" s="51">
        <f>IF(A35="","",N35-O35)</f>
        <v/>
      </c>
      <c r="Q35" s="51">
        <f>IF(A35="","",ROUND(B35*0.4+C35*0.1+D35*0.1+E35*0.1+IF(G35="Yes",5000,0)*0.1+F35*500*0.1+IF(H35="Yes",5000,0)*0.1,0))</f>
        <v/>
      </c>
      <c r="R35" s="48">
        <f>IF(A35="","",ROUND(Q35/1000,1))</f>
        <v/>
      </c>
      <c r="S35" s="48">
        <f>IF(A35="","",RANK(R35,$R$2:$R$500,0))</f>
        <v/>
      </c>
    </row>
    <row r="36" ht="22" customHeight="1">
      <c r="A36" s="46" t="n"/>
      <c r="B36" s="50" t="n"/>
      <c r="C36" s="50" t="n"/>
      <c r="D36" s="50" t="n"/>
      <c r="E36" s="50" t="n"/>
      <c r="F36" s="46" t="n"/>
      <c r="G36" s="46" t="n"/>
      <c r="H36" s="46" t="n"/>
      <c r="I36" s="50" t="n"/>
      <c r="J36" s="50" t="n"/>
      <c r="K36" s="50">
        <f>IF(A36="","",B36+C36)</f>
        <v/>
      </c>
      <c r="L36" s="50">
        <f>IF(A36="","",K36/12)</f>
        <v/>
      </c>
      <c r="M36" s="50">
        <f>IF(A36="","",K36/2080)</f>
        <v/>
      </c>
      <c r="N36" s="50">
        <f>IF(A36="","",B36+C36+D36+E36+I36+J36)</f>
        <v/>
      </c>
      <c r="O36" s="50">
        <f>IF(A36="","",N36*0.25)</f>
        <v/>
      </c>
      <c r="P36" s="50">
        <f>IF(A36="","",N36-O36)</f>
        <v/>
      </c>
      <c r="Q36" s="50">
        <f>IF(A36="","",ROUND(B36*0.4+C36*0.1+D36*0.1+E36*0.1+IF(G36="Yes",5000,0)*0.1+F36*500*0.1+IF(H36="Yes",5000,0)*0.1,0))</f>
        <v/>
      </c>
      <c r="R36" s="46">
        <f>IF(A36="","",ROUND(Q36/1000,1))</f>
        <v/>
      </c>
      <c r="S36" s="46">
        <f>IF(A36="","",RANK(R36,$R$2:$R$500,0))</f>
        <v/>
      </c>
    </row>
    <row r="37" ht="22" customHeight="1">
      <c r="A37" s="48" t="n"/>
      <c r="B37" s="51" t="n"/>
      <c r="C37" s="51" t="n"/>
      <c r="D37" s="51" t="n"/>
      <c r="E37" s="51" t="n"/>
      <c r="F37" s="48" t="n"/>
      <c r="G37" s="48" t="n"/>
      <c r="H37" s="48" t="n"/>
      <c r="I37" s="51" t="n"/>
      <c r="J37" s="51" t="n"/>
      <c r="K37" s="51">
        <f>IF(A37="","",B37+C37)</f>
        <v/>
      </c>
      <c r="L37" s="51">
        <f>IF(A37="","",K37/12)</f>
        <v/>
      </c>
      <c r="M37" s="51">
        <f>IF(A37="","",K37/2080)</f>
        <v/>
      </c>
      <c r="N37" s="51">
        <f>IF(A37="","",B37+C37+D37+E37+I37+J37)</f>
        <v/>
      </c>
      <c r="O37" s="51">
        <f>IF(A37="","",N37*0.25)</f>
        <v/>
      </c>
      <c r="P37" s="51">
        <f>IF(A37="","",N37-O37)</f>
        <v/>
      </c>
      <c r="Q37" s="51">
        <f>IF(A37="","",ROUND(B37*0.4+C37*0.1+D37*0.1+E37*0.1+IF(G37="Yes",5000,0)*0.1+F37*500*0.1+IF(H37="Yes",5000,0)*0.1,0))</f>
        <v/>
      </c>
      <c r="R37" s="48">
        <f>IF(A37="","",ROUND(Q37/1000,1))</f>
        <v/>
      </c>
      <c r="S37" s="48">
        <f>IF(A37="","",RANK(R37,$R$2:$R$500,0))</f>
        <v/>
      </c>
    </row>
    <row r="38" ht="22" customHeight="1">
      <c r="A38" s="46" t="n"/>
      <c r="B38" s="50" t="n"/>
      <c r="C38" s="50" t="n"/>
      <c r="D38" s="50" t="n"/>
      <c r="E38" s="50" t="n"/>
      <c r="F38" s="46" t="n"/>
      <c r="G38" s="46" t="n"/>
      <c r="H38" s="46" t="n"/>
      <c r="I38" s="50" t="n"/>
      <c r="J38" s="50" t="n"/>
      <c r="K38" s="50">
        <f>IF(A38="","",B38+C38)</f>
        <v/>
      </c>
      <c r="L38" s="50">
        <f>IF(A38="","",K38/12)</f>
        <v/>
      </c>
      <c r="M38" s="50">
        <f>IF(A38="","",K38/2080)</f>
        <v/>
      </c>
      <c r="N38" s="50">
        <f>IF(A38="","",B38+C38+D38+E38+I38+J38)</f>
        <v/>
      </c>
      <c r="O38" s="50">
        <f>IF(A38="","",N38*0.25)</f>
        <v/>
      </c>
      <c r="P38" s="50">
        <f>IF(A38="","",N38-O38)</f>
        <v/>
      </c>
      <c r="Q38" s="50">
        <f>IF(A38="","",ROUND(B38*0.4+C38*0.1+D38*0.1+E38*0.1+IF(G38="Yes",5000,0)*0.1+F38*500*0.1+IF(H38="Yes",5000,0)*0.1,0))</f>
        <v/>
      </c>
      <c r="R38" s="46">
        <f>IF(A38="","",ROUND(Q38/1000,1))</f>
        <v/>
      </c>
      <c r="S38" s="46">
        <f>IF(A38="","",RANK(R38,$R$2:$R$500,0))</f>
        <v/>
      </c>
    </row>
    <row r="39" ht="22" customHeight="1">
      <c r="A39" s="48" t="n"/>
      <c r="B39" s="51" t="n"/>
      <c r="C39" s="51" t="n"/>
      <c r="D39" s="51" t="n"/>
      <c r="E39" s="51" t="n"/>
      <c r="F39" s="48" t="n"/>
      <c r="G39" s="48" t="n"/>
      <c r="H39" s="48" t="n"/>
      <c r="I39" s="51" t="n"/>
      <c r="J39" s="51" t="n"/>
      <c r="K39" s="51">
        <f>IF(A39="","",B39+C39)</f>
        <v/>
      </c>
      <c r="L39" s="51">
        <f>IF(A39="","",K39/12)</f>
        <v/>
      </c>
      <c r="M39" s="51">
        <f>IF(A39="","",K39/2080)</f>
        <v/>
      </c>
      <c r="N39" s="51">
        <f>IF(A39="","",B39+C39+D39+E39+I39+J39)</f>
        <v/>
      </c>
      <c r="O39" s="51">
        <f>IF(A39="","",N39*0.25)</f>
        <v/>
      </c>
      <c r="P39" s="51">
        <f>IF(A39="","",N39-O39)</f>
        <v/>
      </c>
      <c r="Q39" s="51">
        <f>IF(A39="","",ROUND(B39*0.4+C39*0.1+D39*0.1+E39*0.1+IF(G39="Yes",5000,0)*0.1+F39*500*0.1+IF(H39="Yes",5000,0)*0.1,0))</f>
        <v/>
      </c>
      <c r="R39" s="48">
        <f>IF(A39="","",ROUND(Q39/1000,1))</f>
        <v/>
      </c>
      <c r="S39" s="48">
        <f>IF(A39="","",RANK(R39,$R$2:$R$500,0))</f>
        <v/>
      </c>
    </row>
    <row r="40" ht="22" customHeight="1">
      <c r="A40" s="46" t="n"/>
      <c r="B40" s="50" t="n"/>
      <c r="C40" s="50" t="n"/>
      <c r="D40" s="50" t="n"/>
      <c r="E40" s="50" t="n"/>
      <c r="F40" s="46" t="n"/>
      <c r="G40" s="46" t="n"/>
      <c r="H40" s="46" t="n"/>
      <c r="I40" s="50" t="n"/>
      <c r="J40" s="50" t="n"/>
      <c r="K40" s="50">
        <f>IF(A40="","",B40+C40)</f>
        <v/>
      </c>
      <c r="L40" s="50">
        <f>IF(A40="","",K40/12)</f>
        <v/>
      </c>
      <c r="M40" s="50">
        <f>IF(A40="","",K40/2080)</f>
        <v/>
      </c>
      <c r="N40" s="50">
        <f>IF(A40="","",B40+C40+D40+E40+I40+J40)</f>
        <v/>
      </c>
      <c r="O40" s="50">
        <f>IF(A40="","",N40*0.25)</f>
        <v/>
      </c>
      <c r="P40" s="50">
        <f>IF(A40="","",N40-O40)</f>
        <v/>
      </c>
      <c r="Q40" s="50">
        <f>IF(A40="","",ROUND(B40*0.4+C40*0.1+D40*0.1+E40*0.1+IF(G40="Yes",5000,0)*0.1+F40*500*0.1+IF(H40="Yes",5000,0)*0.1,0))</f>
        <v/>
      </c>
      <c r="R40" s="46">
        <f>IF(A40="","",ROUND(Q40/1000,1))</f>
        <v/>
      </c>
      <c r="S40" s="46">
        <f>IF(A40="","",RANK(R40,$R$2:$R$500,0))</f>
        <v/>
      </c>
    </row>
    <row r="41" ht="22" customHeight="1">
      <c r="A41" s="48" t="n"/>
      <c r="B41" s="51" t="n"/>
      <c r="C41" s="51" t="n"/>
      <c r="D41" s="51" t="n"/>
      <c r="E41" s="51" t="n"/>
      <c r="F41" s="48" t="n"/>
      <c r="G41" s="48" t="n"/>
      <c r="H41" s="48" t="n"/>
      <c r="I41" s="51" t="n"/>
      <c r="J41" s="51" t="n"/>
      <c r="K41" s="51">
        <f>IF(A41="","",B41+C41)</f>
        <v/>
      </c>
      <c r="L41" s="51">
        <f>IF(A41="","",K41/12)</f>
        <v/>
      </c>
      <c r="M41" s="51">
        <f>IF(A41="","",K41/2080)</f>
        <v/>
      </c>
      <c r="N41" s="51">
        <f>IF(A41="","",B41+C41+D41+E41+I41+J41)</f>
        <v/>
      </c>
      <c r="O41" s="51">
        <f>IF(A41="","",N41*0.25)</f>
        <v/>
      </c>
      <c r="P41" s="51">
        <f>IF(A41="","",N41-O41)</f>
        <v/>
      </c>
      <c r="Q41" s="51">
        <f>IF(A41="","",ROUND(B41*0.4+C41*0.1+D41*0.1+E41*0.1+IF(G41="Yes",5000,0)*0.1+F41*500*0.1+IF(H41="Yes",5000,0)*0.1,0))</f>
        <v/>
      </c>
      <c r="R41" s="48">
        <f>IF(A41="","",ROUND(Q41/1000,1))</f>
        <v/>
      </c>
      <c r="S41" s="48">
        <f>IF(A41="","",RANK(R41,$R$2:$R$500,0))</f>
        <v/>
      </c>
    </row>
    <row r="42" ht="22" customHeight="1">
      <c r="A42" s="46" t="n"/>
      <c r="B42" s="50" t="n"/>
      <c r="C42" s="50" t="n"/>
      <c r="D42" s="50" t="n"/>
      <c r="E42" s="50" t="n"/>
      <c r="F42" s="46" t="n"/>
      <c r="G42" s="46" t="n"/>
      <c r="H42" s="46" t="n"/>
      <c r="I42" s="50" t="n"/>
      <c r="J42" s="50" t="n"/>
      <c r="K42" s="50">
        <f>IF(A42="","",B42+C42)</f>
        <v/>
      </c>
      <c r="L42" s="50">
        <f>IF(A42="","",K42/12)</f>
        <v/>
      </c>
      <c r="M42" s="50">
        <f>IF(A42="","",K42/2080)</f>
        <v/>
      </c>
      <c r="N42" s="50">
        <f>IF(A42="","",B42+C42+D42+E42+I42+J42)</f>
        <v/>
      </c>
      <c r="O42" s="50">
        <f>IF(A42="","",N42*0.25)</f>
        <v/>
      </c>
      <c r="P42" s="50">
        <f>IF(A42="","",N42-O42)</f>
        <v/>
      </c>
      <c r="Q42" s="50">
        <f>IF(A42="","",ROUND(B42*0.4+C42*0.1+D42*0.1+E42*0.1+IF(G42="Yes",5000,0)*0.1+F42*500*0.1+IF(H42="Yes",5000,0)*0.1,0))</f>
        <v/>
      </c>
      <c r="R42" s="46">
        <f>IF(A42="","",ROUND(Q42/1000,1))</f>
        <v/>
      </c>
      <c r="S42" s="46">
        <f>IF(A42="","",RANK(R42,$R$2:$R$500,0))</f>
        <v/>
      </c>
    </row>
    <row r="43" ht="22" customHeight="1">
      <c r="A43" s="48" t="n"/>
      <c r="B43" s="51" t="n"/>
      <c r="C43" s="51" t="n"/>
      <c r="D43" s="51" t="n"/>
      <c r="E43" s="51" t="n"/>
      <c r="F43" s="48" t="n"/>
      <c r="G43" s="48" t="n"/>
      <c r="H43" s="48" t="n"/>
      <c r="I43" s="51" t="n"/>
      <c r="J43" s="51" t="n"/>
      <c r="K43" s="51">
        <f>IF(A43="","",B43+C43)</f>
        <v/>
      </c>
      <c r="L43" s="51">
        <f>IF(A43="","",K43/12)</f>
        <v/>
      </c>
      <c r="M43" s="51">
        <f>IF(A43="","",K43/2080)</f>
        <v/>
      </c>
      <c r="N43" s="51">
        <f>IF(A43="","",B43+C43+D43+E43+I43+J43)</f>
        <v/>
      </c>
      <c r="O43" s="51">
        <f>IF(A43="","",N43*0.25)</f>
        <v/>
      </c>
      <c r="P43" s="51">
        <f>IF(A43="","",N43-O43)</f>
        <v/>
      </c>
      <c r="Q43" s="51">
        <f>IF(A43="","",ROUND(B43*0.4+C43*0.1+D43*0.1+E43*0.1+IF(G43="Yes",5000,0)*0.1+F43*500*0.1+IF(H43="Yes",5000,0)*0.1,0))</f>
        <v/>
      </c>
      <c r="R43" s="48">
        <f>IF(A43="","",ROUND(Q43/1000,1))</f>
        <v/>
      </c>
      <c r="S43" s="48">
        <f>IF(A43="","",RANK(R43,$R$2:$R$500,0))</f>
        <v/>
      </c>
    </row>
    <row r="44" ht="22" customHeight="1">
      <c r="A44" s="46" t="n"/>
      <c r="B44" s="50" t="n"/>
      <c r="C44" s="50" t="n"/>
      <c r="D44" s="50" t="n"/>
      <c r="E44" s="50" t="n"/>
      <c r="F44" s="46" t="n"/>
      <c r="G44" s="46" t="n"/>
      <c r="H44" s="46" t="n"/>
      <c r="I44" s="50" t="n"/>
      <c r="J44" s="50" t="n"/>
      <c r="K44" s="50">
        <f>IF(A44="","",B44+C44)</f>
        <v/>
      </c>
      <c r="L44" s="50">
        <f>IF(A44="","",K44/12)</f>
        <v/>
      </c>
      <c r="M44" s="50">
        <f>IF(A44="","",K44/2080)</f>
        <v/>
      </c>
      <c r="N44" s="50">
        <f>IF(A44="","",B44+C44+D44+E44+I44+J44)</f>
        <v/>
      </c>
      <c r="O44" s="50">
        <f>IF(A44="","",N44*0.25)</f>
        <v/>
      </c>
      <c r="P44" s="50">
        <f>IF(A44="","",N44-O44)</f>
        <v/>
      </c>
      <c r="Q44" s="50">
        <f>IF(A44="","",ROUND(B44*0.4+C44*0.1+D44*0.1+E44*0.1+IF(G44="Yes",5000,0)*0.1+F44*500*0.1+IF(H44="Yes",5000,0)*0.1,0))</f>
        <v/>
      </c>
      <c r="R44" s="46">
        <f>IF(A44="","",ROUND(Q44/1000,1))</f>
        <v/>
      </c>
      <c r="S44" s="46">
        <f>IF(A44="","",RANK(R44,$R$2:$R$500,0))</f>
        <v/>
      </c>
    </row>
    <row r="45" ht="22" customHeight="1">
      <c r="A45" s="48" t="n"/>
      <c r="B45" s="51" t="n"/>
      <c r="C45" s="51" t="n"/>
      <c r="D45" s="51" t="n"/>
      <c r="E45" s="51" t="n"/>
      <c r="F45" s="48" t="n"/>
      <c r="G45" s="48" t="n"/>
      <c r="H45" s="48" t="n"/>
      <c r="I45" s="51" t="n"/>
      <c r="J45" s="51" t="n"/>
      <c r="K45" s="51">
        <f>IF(A45="","",B45+C45)</f>
        <v/>
      </c>
      <c r="L45" s="51">
        <f>IF(A45="","",K45/12)</f>
        <v/>
      </c>
      <c r="M45" s="51">
        <f>IF(A45="","",K45/2080)</f>
        <v/>
      </c>
      <c r="N45" s="51">
        <f>IF(A45="","",B45+C45+D45+E45+I45+J45)</f>
        <v/>
      </c>
      <c r="O45" s="51">
        <f>IF(A45="","",N45*0.25)</f>
        <v/>
      </c>
      <c r="P45" s="51">
        <f>IF(A45="","",N45-O45)</f>
        <v/>
      </c>
      <c r="Q45" s="51">
        <f>IF(A45="","",ROUND(B45*0.4+C45*0.1+D45*0.1+E45*0.1+IF(G45="Yes",5000,0)*0.1+F45*500*0.1+IF(H45="Yes",5000,0)*0.1,0))</f>
        <v/>
      </c>
      <c r="R45" s="48">
        <f>IF(A45="","",ROUND(Q45/1000,1))</f>
        <v/>
      </c>
      <c r="S45" s="48">
        <f>IF(A45="","",RANK(R45,$R$2:$R$500,0))</f>
        <v/>
      </c>
    </row>
    <row r="46" ht="22" customHeight="1">
      <c r="A46" s="46" t="n"/>
      <c r="B46" s="50" t="n"/>
      <c r="C46" s="50" t="n"/>
      <c r="D46" s="50" t="n"/>
      <c r="E46" s="50" t="n"/>
      <c r="F46" s="46" t="n"/>
      <c r="G46" s="46" t="n"/>
      <c r="H46" s="46" t="n"/>
      <c r="I46" s="50" t="n"/>
      <c r="J46" s="50" t="n"/>
      <c r="K46" s="50">
        <f>IF(A46="","",B46+C46)</f>
        <v/>
      </c>
      <c r="L46" s="50">
        <f>IF(A46="","",K46/12)</f>
        <v/>
      </c>
      <c r="M46" s="50">
        <f>IF(A46="","",K46/2080)</f>
        <v/>
      </c>
      <c r="N46" s="50">
        <f>IF(A46="","",B46+C46+D46+E46+I46+J46)</f>
        <v/>
      </c>
      <c r="O46" s="50">
        <f>IF(A46="","",N46*0.25)</f>
        <v/>
      </c>
      <c r="P46" s="50">
        <f>IF(A46="","",N46-O46)</f>
        <v/>
      </c>
      <c r="Q46" s="50">
        <f>IF(A46="","",ROUND(B46*0.4+C46*0.1+D46*0.1+E46*0.1+IF(G46="Yes",5000,0)*0.1+F46*500*0.1+IF(H46="Yes",5000,0)*0.1,0))</f>
        <v/>
      </c>
      <c r="R46" s="46">
        <f>IF(A46="","",ROUND(Q46/1000,1))</f>
        <v/>
      </c>
      <c r="S46" s="46">
        <f>IF(A46="","",RANK(R46,$R$2:$R$500,0))</f>
        <v/>
      </c>
    </row>
    <row r="47" ht="22" customHeight="1">
      <c r="A47" s="48" t="n"/>
      <c r="B47" s="51" t="n"/>
      <c r="C47" s="51" t="n"/>
      <c r="D47" s="51" t="n"/>
      <c r="E47" s="51" t="n"/>
      <c r="F47" s="48" t="n"/>
      <c r="G47" s="48" t="n"/>
      <c r="H47" s="48" t="n"/>
      <c r="I47" s="51" t="n"/>
      <c r="J47" s="51" t="n"/>
      <c r="K47" s="51">
        <f>IF(A47="","",B47+C47)</f>
        <v/>
      </c>
      <c r="L47" s="51">
        <f>IF(A47="","",K47/12)</f>
        <v/>
      </c>
      <c r="M47" s="51">
        <f>IF(A47="","",K47/2080)</f>
        <v/>
      </c>
      <c r="N47" s="51">
        <f>IF(A47="","",B47+C47+D47+E47+I47+J47)</f>
        <v/>
      </c>
      <c r="O47" s="51">
        <f>IF(A47="","",N47*0.25)</f>
        <v/>
      </c>
      <c r="P47" s="51">
        <f>IF(A47="","",N47-O47)</f>
        <v/>
      </c>
      <c r="Q47" s="51">
        <f>IF(A47="","",ROUND(B47*0.4+C47*0.1+D47*0.1+E47*0.1+IF(G47="Yes",5000,0)*0.1+F47*500*0.1+IF(H47="Yes",5000,0)*0.1,0))</f>
        <v/>
      </c>
      <c r="R47" s="48">
        <f>IF(A47="","",ROUND(Q47/1000,1))</f>
        <v/>
      </c>
      <c r="S47" s="48">
        <f>IF(A47="","",RANK(R47,$R$2:$R$500,0))</f>
        <v/>
      </c>
    </row>
    <row r="48" ht="22" customHeight="1">
      <c r="A48" s="46" t="n"/>
      <c r="B48" s="50" t="n"/>
      <c r="C48" s="50" t="n"/>
      <c r="D48" s="50" t="n"/>
      <c r="E48" s="50" t="n"/>
      <c r="F48" s="46" t="n"/>
      <c r="G48" s="46" t="n"/>
      <c r="H48" s="46" t="n"/>
      <c r="I48" s="50" t="n"/>
      <c r="J48" s="50" t="n"/>
      <c r="K48" s="50">
        <f>IF(A48="","",B48+C48)</f>
        <v/>
      </c>
      <c r="L48" s="50">
        <f>IF(A48="","",K48/12)</f>
        <v/>
      </c>
      <c r="M48" s="50">
        <f>IF(A48="","",K48/2080)</f>
        <v/>
      </c>
      <c r="N48" s="50">
        <f>IF(A48="","",B48+C48+D48+E48+I48+J48)</f>
        <v/>
      </c>
      <c r="O48" s="50">
        <f>IF(A48="","",N48*0.25)</f>
        <v/>
      </c>
      <c r="P48" s="50">
        <f>IF(A48="","",N48-O48)</f>
        <v/>
      </c>
      <c r="Q48" s="50">
        <f>IF(A48="","",ROUND(B48*0.4+C48*0.1+D48*0.1+E48*0.1+IF(G48="Yes",5000,0)*0.1+F48*500*0.1+IF(H48="Yes",5000,0)*0.1,0))</f>
        <v/>
      </c>
      <c r="R48" s="46">
        <f>IF(A48="","",ROUND(Q48/1000,1))</f>
        <v/>
      </c>
      <c r="S48" s="46">
        <f>IF(A48="","",RANK(R48,$R$2:$R$500,0))</f>
        <v/>
      </c>
    </row>
    <row r="49" ht="22" customHeight="1">
      <c r="A49" s="48" t="n"/>
      <c r="B49" s="51" t="n"/>
      <c r="C49" s="51" t="n"/>
      <c r="D49" s="51" t="n"/>
      <c r="E49" s="51" t="n"/>
      <c r="F49" s="48" t="n"/>
      <c r="G49" s="48" t="n"/>
      <c r="H49" s="48" t="n"/>
      <c r="I49" s="51" t="n"/>
      <c r="J49" s="51" t="n"/>
      <c r="K49" s="51">
        <f>IF(A49="","",B49+C49)</f>
        <v/>
      </c>
      <c r="L49" s="51">
        <f>IF(A49="","",K49/12)</f>
        <v/>
      </c>
      <c r="M49" s="51">
        <f>IF(A49="","",K49/2080)</f>
        <v/>
      </c>
      <c r="N49" s="51">
        <f>IF(A49="","",B49+C49+D49+E49+I49+J49)</f>
        <v/>
      </c>
      <c r="O49" s="51">
        <f>IF(A49="","",N49*0.25)</f>
        <v/>
      </c>
      <c r="P49" s="51">
        <f>IF(A49="","",N49-O49)</f>
        <v/>
      </c>
      <c r="Q49" s="51">
        <f>IF(A49="","",ROUND(B49*0.4+C49*0.1+D49*0.1+E49*0.1+IF(G49="Yes",5000,0)*0.1+F49*500*0.1+IF(H49="Yes",5000,0)*0.1,0))</f>
        <v/>
      </c>
      <c r="R49" s="48">
        <f>IF(A49="","",ROUND(Q49/1000,1))</f>
        <v/>
      </c>
      <c r="S49" s="48">
        <f>IF(A49="","",RANK(R49,$R$2:$R$500,0))</f>
        <v/>
      </c>
    </row>
    <row r="50" ht="22" customHeight="1">
      <c r="A50" s="46" t="n"/>
      <c r="B50" s="50" t="n"/>
      <c r="C50" s="50" t="n"/>
      <c r="D50" s="50" t="n"/>
      <c r="E50" s="50" t="n"/>
      <c r="F50" s="46" t="n"/>
      <c r="G50" s="46" t="n"/>
      <c r="H50" s="46" t="n"/>
      <c r="I50" s="50" t="n"/>
      <c r="J50" s="50" t="n"/>
      <c r="K50" s="50">
        <f>IF(A50="","",B50+C50)</f>
        <v/>
      </c>
      <c r="L50" s="50">
        <f>IF(A50="","",K50/12)</f>
        <v/>
      </c>
      <c r="M50" s="50">
        <f>IF(A50="","",K50/2080)</f>
        <v/>
      </c>
      <c r="N50" s="50">
        <f>IF(A50="","",B50+C50+D50+E50+I50+J50)</f>
        <v/>
      </c>
      <c r="O50" s="50">
        <f>IF(A50="","",N50*0.25)</f>
        <v/>
      </c>
      <c r="P50" s="50">
        <f>IF(A50="","",N50-O50)</f>
        <v/>
      </c>
      <c r="Q50" s="50">
        <f>IF(A50="","",ROUND(B50*0.4+C50*0.1+D50*0.1+E50*0.1+IF(G50="Yes",5000,0)*0.1+F50*500*0.1+IF(H50="Yes",5000,0)*0.1,0))</f>
        <v/>
      </c>
      <c r="R50" s="46">
        <f>IF(A50="","",ROUND(Q50/1000,1))</f>
        <v/>
      </c>
      <c r="S50" s="46">
        <f>IF(A50="","",RANK(R50,$R$2:$R$500,0))</f>
        <v/>
      </c>
    </row>
    <row r="51" ht="22" customHeight="1">
      <c r="A51" s="48" t="n"/>
      <c r="B51" s="51" t="n"/>
      <c r="C51" s="51" t="n"/>
      <c r="D51" s="51" t="n"/>
      <c r="E51" s="51" t="n"/>
      <c r="F51" s="48" t="n"/>
      <c r="G51" s="48" t="n"/>
      <c r="H51" s="48" t="n"/>
      <c r="I51" s="51" t="n"/>
      <c r="J51" s="51" t="n"/>
      <c r="K51" s="51">
        <f>IF(A51="","",B51+C51)</f>
        <v/>
      </c>
      <c r="L51" s="51">
        <f>IF(A51="","",K51/12)</f>
        <v/>
      </c>
      <c r="M51" s="51">
        <f>IF(A51="","",K51/2080)</f>
        <v/>
      </c>
      <c r="N51" s="51">
        <f>IF(A51="","",B51+C51+D51+E51+I51+J51)</f>
        <v/>
      </c>
      <c r="O51" s="51">
        <f>IF(A51="","",N51*0.25)</f>
        <v/>
      </c>
      <c r="P51" s="51">
        <f>IF(A51="","",N51-O51)</f>
        <v/>
      </c>
      <c r="Q51" s="51">
        <f>IF(A51="","",ROUND(B51*0.4+C51*0.1+D51*0.1+E51*0.1+IF(G51="Yes",5000,0)*0.1+F51*500*0.1+IF(H51="Yes",5000,0)*0.1,0))</f>
        <v/>
      </c>
      <c r="R51" s="48">
        <f>IF(A51="","",ROUND(Q51/1000,1))</f>
        <v/>
      </c>
      <c r="S51" s="48">
        <f>IF(A51="","",RANK(R51,$R$2:$R$500,0))</f>
        <v/>
      </c>
    </row>
    <row r="52" ht="22" customHeight="1">
      <c r="A52" s="46" t="n"/>
      <c r="B52" s="50" t="n"/>
      <c r="C52" s="50" t="n"/>
      <c r="D52" s="50" t="n"/>
      <c r="E52" s="50" t="n"/>
      <c r="F52" s="46" t="n"/>
      <c r="G52" s="46" t="n"/>
      <c r="H52" s="46" t="n"/>
      <c r="I52" s="50" t="n"/>
      <c r="J52" s="50" t="n"/>
      <c r="K52" s="50">
        <f>IF(A52="","",B52+C52)</f>
        <v/>
      </c>
      <c r="L52" s="50">
        <f>IF(A52="","",K52/12)</f>
        <v/>
      </c>
      <c r="M52" s="50">
        <f>IF(A52="","",K52/2080)</f>
        <v/>
      </c>
      <c r="N52" s="50">
        <f>IF(A52="","",B52+C52+D52+E52+I52+J52)</f>
        <v/>
      </c>
      <c r="O52" s="50">
        <f>IF(A52="","",N52*0.25)</f>
        <v/>
      </c>
      <c r="P52" s="50">
        <f>IF(A52="","",N52-O52)</f>
        <v/>
      </c>
      <c r="Q52" s="50">
        <f>IF(A52="","",ROUND(B52*0.4+C52*0.1+D52*0.1+E52*0.1+IF(G52="Yes",5000,0)*0.1+F52*500*0.1+IF(H52="Yes",5000,0)*0.1,0))</f>
        <v/>
      </c>
      <c r="R52" s="46">
        <f>IF(A52="","",ROUND(Q52/1000,1))</f>
        <v/>
      </c>
      <c r="S52" s="46">
        <f>IF(A52="","",RANK(R52,$R$2:$R$500,0))</f>
        <v/>
      </c>
    </row>
    <row r="53" ht="22" customHeight="1">
      <c r="A53" s="48" t="n"/>
      <c r="B53" s="51" t="n"/>
      <c r="C53" s="51" t="n"/>
      <c r="D53" s="51" t="n"/>
      <c r="E53" s="51" t="n"/>
      <c r="F53" s="48" t="n"/>
      <c r="G53" s="48" t="n"/>
      <c r="H53" s="48" t="n"/>
      <c r="I53" s="51" t="n"/>
      <c r="J53" s="51" t="n"/>
      <c r="K53" s="51">
        <f>IF(A53="","",B53+C53)</f>
        <v/>
      </c>
      <c r="L53" s="51">
        <f>IF(A53="","",K53/12)</f>
        <v/>
      </c>
      <c r="M53" s="51">
        <f>IF(A53="","",K53/2080)</f>
        <v/>
      </c>
      <c r="N53" s="51">
        <f>IF(A53="","",B53+C53+D53+E53+I53+J53)</f>
        <v/>
      </c>
      <c r="O53" s="51">
        <f>IF(A53="","",N53*0.25)</f>
        <v/>
      </c>
      <c r="P53" s="51">
        <f>IF(A53="","",N53-O53)</f>
        <v/>
      </c>
      <c r="Q53" s="51">
        <f>IF(A53="","",ROUND(B53*0.4+C53*0.1+D53*0.1+E53*0.1+IF(G53="Yes",5000,0)*0.1+F53*500*0.1+IF(H53="Yes",5000,0)*0.1,0))</f>
        <v/>
      </c>
      <c r="R53" s="48">
        <f>IF(A53="","",ROUND(Q53/1000,1))</f>
        <v/>
      </c>
      <c r="S53" s="48">
        <f>IF(A53="","",RANK(R53,$R$2:$R$500,0))</f>
        <v/>
      </c>
    </row>
    <row r="54" ht="22" customHeight="1">
      <c r="A54" s="46" t="n"/>
      <c r="B54" s="50" t="n"/>
      <c r="C54" s="50" t="n"/>
      <c r="D54" s="50" t="n"/>
      <c r="E54" s="50" t="n"/>
      <c r="F54" s="46" t="n"/>
      <c r="G54" s="46" t="n"/>
      <c r="H54" s="46" t="n"/>
      <c r="I54" s="50" t="n"/>
      <c r="J54" s="50" t="n"/>
      <c r="K54" s="50">
        <f>IF(A54="","",B54+C54)</f>
        <v/>
      </c>
      <c r="L54" s="50">
        <f>IF(A54="","",K54/12)</f>
        <v/>
      </c>
      <c r="M54" s="50">
        <f>IF(A54="","",K54/2080)</f>
        <v/>
      </c>
      <c r="N54" s="50">
        <f>IF(A54="","",B54+C54+D54+E54+I54+J54)</f>
        <v/>
      </c>
      <c r="O54" s="50">
        <f>IF(A54="","",N54*0.25)</f>
        <v/>
      </c>
      <c r="P54" s="50">
        <f>IF(A54="","",N54-O54)</f>
        <v/>
      </c>
      <c r="Q54" s="50">
        <f>IF(A54="","",ROUND(B54*0.4+C54*0.1+D54*0.1+E54*0.1+IF(G54="Yes",5000,0)*0.1+F54*500*0.1+IF(H54="Yes",5000,0)*0.1,0))</f>
        <v/>
      </c>
      <c r="R54" s="46">
        <f>IF(A54="","",ROUND(Q54/1000,1))</f>
        <v/>
      </c>
      <c r="S54" s="46">
        <f>IF(A54="","",RANK(R54,$R$2:$R$500,0))</f>
        <v/>
      </c>
    </row>
    <row r="55" ht="22" customHeight="1">
      <c r="A55" s="48" t="n"/>
      <c r="B55" s="51" t="n"/>
      <c r="C55" s="51" t="n"/>
      <c r="D55" s="51" t="n"/>
      <c r="E55" s="51" t="n"/>
      <c r="F55" s="48" t="n"/>
      <c r="G55" s="48" t="n"/>
      <c r="H55" s="48" t="n"/>
      <c r="I55" s="51" t="n"/>
      <c r="J55" s="51" t="n"/>
      <c r="K55" s="51">
        <f>IF(A55="","",B55+C55)</f>
        <v/>
      </c>
      <c r="L55" s="51">
        <f>IF(A55="","",K55/12)</f>
        <v/>
      </c>
      <c r="M55" s="51">
        <f>IF(A55="","",K55/2080)</f>
        <v/>
      </c>
      <c r="N55" s="51">
        <f>IF(A55="","",B55+C55+D55+E55+I55+J55)</f>
        <v/>
      </c>
      <c r="O55" s="51">
        <f>IF(A55="","",N55*0.25)</f>
        <v/>
      </c>
      <c r="P55" s="51">
        <f>IF(A55="","",N55-O55)</f>
        <v/>
      </c>
      <c r="Q55" s="51">
        <f>IF(A55="","",ROUND(B55*0.4+C55*0.1+D55*0.1+E55*0.1+IF(G55="Yes",5000,0)*0.1+F55*500*0.1+IF(H55="Yes",5000,0)*0.1,0))</f>
        <v/>
      </c>
      <c r="R55" s="48">
        <f>IF(A55="","",ROUND(Q55/1000,1))</f>
        <v/>
      </c>
      <c r="S55" s="48">
        <f>IF(A55="","",RANK(R55,$R$2:$R$500,0))</f>
        <v/>
      </c>
    </row>
    <row r="56" ht="22" customHeight="1">
      <c r="A56" s="46" t="n"/>
      <c r="B56" s="50" t="n"/>
      <c r="C56" s="50" t="n"/>
      <c r="D56" s="50" t="n"/>
      <c r="E56" s="50" t="n"/>
      <c r="F56" s="46" t="n"/>
      <c r="G56" s="46" t="n"/>
      <c r="H56" s="46" t="n"/>
      <c r="I56" s="50" t="n"/>
      <c r="J56" s="50" t="n"/>
      <c r="K56" s="50">
        <f>IF(A56="","",B56+C56)</f>
        <v/>
      </c>
      <c r="L56" s="50">
        <f>IF(A56="","",K56/12)</f>
        <v/>
      </c>
      <c r="M56" s="50">
        <f>IF(A56="","",K56/2080)</f>
        <v/>
      </c>
      <c r="N56" s="50">
        <f>IF(A56="","",B56+C56+D56+E56+I56+J56)</f>
        <v/>
      </c>
      <c r="O56" s="50">
        <f>IF(A56="","",N56*0.25)</f>
        <v/>
      </c>
      <c r="P56" s="50">
        <f>IF(A56="","",N56-O56)</f>
        <v/>
      </c>
      <c r="Q56" s="50">
        <f>IF(A56="","",ROUND(B56*0.4+C56*0.1+D56*0.1+E56*0.1+IF(G56="Yes",5000,0)*0.1+F56*500*0.1+IF(H56="Yes",5000,0)*0.1,0))</f>
        <v/>
      </c>
      <c r="R56" s="46">
        <f>IF(A56="","",ROUND(Q56/1000,1))</f>
        <v/>
      </c>
      <c r="S56" s="46">
        <f>IF(A56="","",RANK(R56,$R$2:$R$500,0))</f>
        <v/>
      </c>
    </row>
    <row r="57" ht="22" customHeight="1">
      <c r="A57" s="48" t="n"/>
      <c r="B57" s="51" t="n"/>
      <c r="C57" s="51" t="n"/>
      <c r="D57" s="51" t="n"/>
      <c r="E57" s="51" t="n"/>
      <c r="F57" s="48" t="n"/>
      <c r="G57" s="48" t="n"/>
      <c r="H57" s="48" t="n"/>
      <c r="I57" s="51" t="n"/>
      <c r="J57" s="51" t="n"/>
      <c r="K57" s="51">
        <f>IF(A57="","",B57+C57)</f>
        <v/>
      </c>
      <c r="L57" s="51">
        <f>IF(A57="","",K57/12)</f>
        <v/>
      </c>
      <c r="M57" s="51">
        <f>IF(A57="","",K57/2080)</f>
        <v/>
      </c>
      <c r="N57" s="51">
        <f>IF(A57="","",B57+C57+D57+E57+I57+J57)</f>
        <v/>
      </c>
      <c r="O57" s="51">
        <f>IF(A57="","",N57*0.25)</f>
        <v/>
      </c>
      <c r="P57" s="51">
        <f>IF(A57="","",N57-O57)</f>
        <v/>
      </c>
      <c r="Q57" s="51">
        <f>IF(A57="","",ROUND(B57*0.4+C57*0.1+D57*0.1+E57*0.1+IF(G57="Yes",5000,0)*0.1+F57*500*0.1+IF(H57="Yes",5000,0)*0.1,0))</f>
        <v/>
      </c>
      <c r="R57" s="48">
        <f>IF(A57="","",ROUND(Q57/1000,1))</f>
        <v/>
      </c>
      <c r="S57" s="48">
        <f>IF(A57="","",RANK(R57,$R$2:$R$500,0))</f>
        <v/>
      </c>
    </row>
    <row r="58" ht="22" customHeight="1">
      <c r="A58" s="46" t="n"/>
      <c r="B58" s="50" t="n"/>
      <c r="C58" s="50" t="n"/>
      <c r="D58" s="50" t="n"/>
      <c r="E58" s="50" t="n"/>
      <c r="F58" s="46" t="n"/>
      <c r="G58" s="46" t="n"/>
      <c r="H58" s="46" t="n"/>
      <c r="I58" s="50" t="n"/>
      <c r="J58" s="50" t="n"/>
      <c r="K58" s="50">
        <f>IF(A58="","",B58+C58)</f>
        <v/>
      </c>
      <c r="L58" s="50">
        <f>IF(A58="","",K58/12)</f>
        <v/>
      </c>
      <c r="M58" s="50">
        <f>IF(A58="","",K58/2080)</f>
        <v/>
      </c>
      <c r="N58" s="50">
        <f>IF(A58="","",B58+C58+D58+E58+I58+J58)</f>
        <v/>
      </c>
      <c r="O58" s="50">
        <f>IF(A58="","",N58*0.25)</f>
        <v/>
      </c>
      <c r="P58" s="50">
        <f>IF(A58="","",N58-O58)</f>
        <v/>
      </c>
      <c r="Q58" s="50">
        <f>IF(A58="","",ROUND(B58*0.4+C58*0.1+D58*0.1+E58*0.1+IF(G58="Yes",5000,0)*0.1+F58*500*0.1+IF(H58="Yes",5000,0)*0.1,0))</f>
        <v/>
      </c>
      <c r="R58" s="46">
        <f>IF(A58="","",ROUND(Q58/1000,1))</f>
        <v/>
      </c>
      <c r="S58" s="46">
        <f>IF(A58="","",RANK(R58,$R$2:$R$500,0))</f>
        <v/>
      </c>
    </row>
    <row r="59" ht="22" customHeight="1">
      <c r="A59" s="48" t="n"/>
      <c r="B59" s="51" t="n"/>
      <c r="C59" s="51" t="n"/>
      <c r="D59" s="51" t="n"/>
      <c r="E59" s="51" t="n"/>
      <c r="F59" s="48" t="n"/>
      <c r="G59" s="48" t="n"/>
      <c r="H59" s="48" t="n"/>
      <c r="I59" s="51" t="n"/>
      <c r="J59" s="51" t="n"/>
      <c r="K59" s="51">
        <f>IF(A59="","",B59+C59)</f>
        <v/>
      </c>
      <c r="L59" s="51">
        <f>IF(A59="","",K59/12)</f>
        <v/>
      </c>
      <c r="M59" s="51">
        <f>IF(A59="","",K59/2080)</f>
        <v/>
      </c>
      <c r="N59" s="51">
        <f>IF(A59="","",B59+C59+D59+E59+I59+J59)</f>
        <v/>
      </c>
      <c r="O59" s="51">
        <f>IF(A59="","",N59*0.25)</f>
        <v/>
      </c>
      <c r="P59" s="51">
        <f>IF(A59="","",N59-O59)</f>
        <v/>
      </c>
      <c r="Q59" s="51">
        <f>IF(A59="","",ROUND(B59*0.4+C59*0.1+D59*0.1+E59*0.1+IF(G59="Yes",5000,0)*0.1+F59*500*0.1+IF(H59="Yes",5000,0)*0.1,0))</f>
        <v/>
      </c>
      <c r="R59" s="48">
        <f>IF(A59="","",ROUND(Q59/1000,1))</f>
        <v/>
      </c>
      <c r="S59" s="48">
        <f>IF(A59="","",RANK(R59,$R$2:$R$500,0))</f>
        <v/>
      </c>
    </row>
    <row r="60" ht="22" customHeight="1">
      <c r="A60" s="46" t="n"/>
      <c r="B60" s="50" t="n"/>
      <c r="C60" s="50" t="n"/>
      <c r="D60" s="50" t="n"/>
      <c r="E60" s="50" t="n"/>
      <c r="F60" s="46" t="n"/>
      <c r="G60" s="46" t="n"/>
      <c r="H60" s="46" t="n"/>
      <c r="I60" s="50" t="n"/>
      <c r="J60" s="50" t="n"/>
      <c r="K60" s="50">
        <f>IF(A60="","",B60+C60)</f>
        <v/>
      </c>
      <c r="L60" s="50">
        <f>IF(A60="","",K60/12)</f>
        <v/>
      </c>
      <c r="M60" s="50">
        <f>IF(A60="","",K60/2080)</f>
        <v/>
      </c>
      <c r="N60" s="50">
        <f>IF(A60="","",B60+C60+D60+E60+I60+J60)</f>
        <v/>
      </c>
      <c r="O60" s="50">
        <f>IF(A60="","",N60*0.25)</f>
        <v/>
      </c>
      <c r="P60" s="50">
        <f>IF(A60="","",N60-O60)</f>
        <v/>
      </c>
      <c r="Q60" s="50">
        <f>IF(A60="","",ROUND(B60*0.4+C60*0.1+D60*0.1+E60*0.1+IF(G60="Yes",5000,0)*0.1+F60*500*0.1+IF(H60="Yes",5000,0)*0.1,0))</f>
        <v/>
      </c>
      <c r="R60" s="46">
        <f>IF(A60="","",ROUND(Q60/1000,1))</f>
        <v/>
      </c>
      <c r="S60" s="46">
        <f>IF(A60="","",RANK(R60,$R$2:$R$500,0))</f>
        <v/>
      </c>
    </row>
    <row r="61" ht="22" customHeight="1">
      <c r="A61" s="48" t="n"/>
      <c r="B61" s="51" t="n"/>
      <c r="C61" s="51" t="n"/>
      <c r="D61" s="51" t="n"/>
      <c r="E61" s="51" t="n"/>
      <c r="F61" s="48" t="n"/>
      <c r="G61" s="48" t="n"/>
      <c r="H61" s="48" t="n"/>
      <c r="I61" s="51" t="n"/>
      <c r="J61" s="51" t="n"/>
      <c r="K61" s="51">
        <f>IF(A61="","",B61+C61)</f>
        <v/>
      </c>
      <c r="L61" s="51">
        <f>IF(A61="","",K61/12)</f>
        <v/>
      </c>
      <c r="M61" s="51">
        <f>IF(A61="","",K61/2080)</f>
        <v/>
      </c>
      <c r="N61" s="51">
        <f>IF(A61="","",B61+C61+D61+E61+I61+J61)</f>
        <v/>
      </c>
      <c r="O61" s="51">
        <f>IF(A61="","",N61*0.25)</f>
        <v/>
      </c>
      <c r="P61" s="51">
        <f>IF(A61="","",N61-O61)</f>
        <v/>
      </c>
      <c r="Q61" s="51">
        <f>IF(A61="","",ROUND(B61*0.4+C61*0.1+D61*0.1+E61*0.1+IF(G61="Yes",5000,0)*0.1+F61*500*0.1+IF(H61="Yes",5000,0)*0.1,0))</f>
        <v/>
      </c>
      <c r="R61" s="48">
        <f>IF(A61="","",ROUND(Q61/1000,1))</f>
        <v/>
      </c>
      <c r="S61" s="48">
        <f>IF(A61="","",RANK(R61,$R$2:$R$500,0))</f>
        <v/>
      </c>
    </row>
    <row r="62" ht="22" customHeight="1">
      <c r="A62" s="46" t="n"/>
      <c r="B62" s="50" t="n"/>
      <c r="C62" s="50" t="n"/>
      <c r="D62" s="50" t="n"/>
      <c r="E62" s="50" t="n"/>
      <c r="F62" s="46" t="n"/>
      <c r="G62" s="46" t="n"/>
      <c r="H62" s="46" t="n"/>
      <c r="I62" s="50" t="n"/>
      <c r="J62" s="50" t="n"/>
      <c r="K62" s="50">
        <f>IF(A62="","",B62+C62)</f>
        <v/>
      </c>
      <c r="L62" s="50">
        <f>IF(A62="","",K62/12)</f>
        <v/>
      </c>
      <c r="M62" s="50">
        <f>IF(A62="","",K62/2080)</f>
        <v/>
      </c>
      <c r="N62" s="50">
        <f>IF(A62="","",B62+C62+D62+E62+I62+J62)</f>
        <v/>
      </c>
      <c r="O62" s="50">
        <f>IF(A62="","",N62*0.25)</f>
        <v/>
      </c>
      <c r="P62" s="50">
        <f>IF(A62="","",N62-O62)</f>
        <v/>
      </c>
      <c r="Q62" s="50">
        <f>IF(A62="","",ROUND(B62*0.4+C62*0.1+D62*0.1+E62*0.1+IF(G62="Yes",5000,0)*0.1+F62*500*0.1+IF(H62="Yes",5000,0)*0.1,0))</f>
        <v/>
      </c>
      <c r="R62" s="46">
        <f>IF(A62="","",ROUND(Q62/1000,1))</f>
        <v/>
      </c>
      <c r="S62" s="46">
        <f>IF(A62="","",RANK(R62,$R$2:$R$500,0))</f>
        <v/>
      </c>
    </row>
    <row r="63" ht="22" customHeight="1">
      <c r="A63" s="48" t="n"/>
      <c r="B63" s="51" t="n"/>
      <c r="C63" s="51" t="n"/>
      <c r="D63" s="51" t="n"/>
      <c r="E63" s="51" t="n"/>
      <c r="F63" s="48" t="n"/>
      <c r="G63" s="48" t="n"/>
      <c r="H63" s="48" t="n"/>
      <c r="I63" s="51" t="n"/>
      <c r="J63" s="51" t="n"/>
      <c r="K63" s="51">
        <f>IF(A63="","",B63+C63)</f>
        <v/>
      </c>
      <c r="L63" s="51">
        <f>IF(A63="","",K63/12)</f>
        <v/>
      </c>
      <c r="M63" s="51">
        <f>IF(A63="","",K63/2080)</f>
        <v/>
      </c>
      <c r="N63" s="51">
        <f>IF(A63="","",B63+C63+D63+E63+I63+J63)</f>
        <v/>
      </c>
      <c r="O63" s="51">
        <f>IF(A63="","",N63*0.25)</f>
        <v/>
      </c>
      <c r="P63" s="51">
        <f>IF(A63="","",N63-O63)</f>
        <v/>
      </c>
      <c r="Q63" s="51">
        <f>IF(A63="","",ROUND(B63*0.4+C63*0.1+D63*0.1+E63*0.1+IF(G63="Yes",5000,0)*0.1+F63*500*0.1+IF(H63="Yes",5000,0)*0.1,0))</f>
        <v/>
      </c>
      <c r="R63" s="48">
        <f>IF(A63="","",ROUND(Q63/1000,1))</f>
        <v/>
      </c>
      <c r="S63" s="48">
        <f>IF(A63="","",RANK(R63,$R$2:$R$500,0))</f>
        <v/>
      </c>
    </row>
    <row r="64" ht="22" customHeight="1">
      <c r="A64" s="46" t="n"/>
      <c r="B64" s="50" t="n"/>
      <c r="C64" s="50" t="n"/>
      <c r="D64" s="50" t="n"/>
      <c r="E64" s="50" t="n"/>
      <c r="F64" s="46" t="n"/>
      <c r="G64" s="46" t="n"/>
      <c r="H64" s="46" t="n"/>
      <c r="I64" s="50" t="n"/>
      <c r="J64" s="50" t="n"/>
      <c r="K64" s="50">
        <f>IF(A64="","",B64+C64)</f>
        <v/>
      </c>
      <c r="L64" s="50">
        <f>IF(A64="","",K64/12)</f>
        <v/>
      </c>
      <c r="M64" s="50">
        <f>IF(A64="","",K64/2080)</f>
        <v/>
      </c>
      <c r="N64" s="50">
        <f>IF(A64="","",B64+C64+D64+E64+I64+J64)</f>
        <v/>
      </c>
      <c r="O64" s="50">
        <f>IF(A64="","",N64*0.25)</f>
        <v/>
      </c>
      <c r="P64" s="50">
        <f>IF(A64="","",N64-O64)</f>
        <v/>
      </c>
      <c r="Q64" s="50">
        <f>IF(A64="","",ROUND(B64*0.4+C64*0.1+D64*0.1+E64*0.1+IF(G64="Yes",5000,0)*0.1+F64*500*0.1+IF(H64="Yes",5000,0)*0.1,0))</f>
        <v/>
      </c>
      <c r="R64" s="46">
        <f>IF(A64="","",ROUND(Q64/1000,1))</f>
        <v/>
      </c>
      <c r="S64" s="46">
        <f>IF(A64="","",RANK(R64,$R$2:$R$500,0))</f>
        <v/>
      </c>
    </row>
    <row r="65" ht="22" customHeight="1">
      <c r="A65" s="48" t="n"/>
      <c r="B65" s="51" t="n"/>
      <c r="C65" s="51" t="n"/>
      <c r="D65" s="51" t="n"/>
      <c r="E65" s="51" t="n"/>
      <c r="F65" s="48" t="n"/>
      <c r="G65" s="48" t="n"/>
      <c r="H65" s="48" t="n"/>
      <c r="I65" s="51" t="n"/>
      <c r="J65" s="51" t="n"/>
      <c r="K65" s="51">
        <f>IF(A65="","",B65+C65)</f>
        <v/>
      </c>
      <c r="L65" s="51">
        <f>IF(A65="","",K65/12)</f>
        <v/>
      </c>
      <c r="M65" s="51">
        <f>IF(A65="","",K65/2080)</f>
        <v/>
      </c>
      <c r="N65" s="51">
        <f>IF(A65="","",B65+C65+D65+E65+I65+J65)</f>
        <v/>
      </c>
      <c r="O65" s="51">
        <f>IF(A65="","",N65*0.25)</f>
        <v/>
      </c>
      <c r="P65" s="51">
        <f>IF(A65="","",N65-O65)</f>
        <v/>
      </c>
      <c r="Q65" s="51">
        <f>IF(A65="","",ROUND(B65*0.4+C65*0.1+D65*0.1+E65*0.1+IF(G65="Yes",5000,0)*0.1+F65*500*0.1+IF(H65="Yes",5000,0)*0.1,0))</f>
        <v/>
      </c>
      <c r="R65" s="48">
        <f>IF(A65="","",ROUND(Q65/1000,1))</f>
        <v/>
      </c>
      <c r="S65" s="48">
        <f>IF(A65="","",RANK(R65,$R$2:$R$500,0))</f>
        <v/>
      </c>
    </row>
    <row r="66" ht="22" customHeight="1">
      <c r="A66" s="46" t="n"/>
      <c r="B66" s="50" t="n"/>
      <c r="C66" s="50" t="n"/>
      <c r="D66" s="50" t="n"/>
      <c r="E66" s="50" t="n"/>
      <c r="F66" s="46" t="n"/>
      <c r="G66" s="46" t="n"/>
      <c r="H66" s="46" t="n"/>
      <c r="I66" s="50" t="n"/>
      <c r="J66" s="50" t="n"/>
      <c r="K66" s="50">
        <f>IF(A66="","",B66+C66)</f>
        <v/>
      </c>
      <c r="L66" s="50">
        <f>IF(A66="","",K66/12)</f>
        <v/>
      </c>
      <c r="M66" s="50">
        <f>IF(A66="","",K66/2080)</f>
        <v/>
      </c>
      <c r="N66" s="50">
        <f>IF(A66="","",B66+C66+D66+E66+I66+J66)</f>
        <v/>
      </c>
      <c r="O66" s="50">
        <f>IF(A66="","",N66*0.25)</f>
        <v/>
      </c>
      <c r="P66" s="50">
        <f>IF(A66="","",N66-O66)</f>
        <v/>
      </c>
      <c r="Q66" s="50">
        <f>IF(A66="","",ROUND(B66*0.4+C66*0.1+D66*0.1+E66*0.1+IF(G66="Yes",5000,0)*0.1+F66*500*0.1+IF(H66="Yes",5000,0)*0.1,0))</f>
        <v/>
      </c>
      <c r="R66" s="46">
        <f>IF(A66="","",ROUND(Q66/1000,1))</f>
        <v/>
      </c>
      <c r="S66" s="46">
        <f>IF(A66="","",RANK(R66,$R$2:$R$500,0))</f>
        <v/>
      </c>
    </row>
    <row r="67" ht="22" customHeight="1">
      <c r="A67" s="48" t="n"/>
      <c r="B67" s="51" t="n"/>
      <c r="C67" s="51" t="n"/>
      <c r="D67" s="51" t="n"/>
      <c r="E67" s="51" t="n"/>
      <c r="F67" s="48" t="n"/>
      <c r="G67" s="48" t="n"/>
      <c r="H67" s="48" t="n"/>
      <c r="I67" s="51" t="n"/>
      <c r="J67" s="51" t="n"/>
      <c r="K67" s="51">
        <f>IF(A67="","",B67+C67)</f>
        <v/>
      </c>
      <c r="L67" s="51">
        <f>IF(A67="","",K67/12)</f>
        <v/>
      </c>
      <c r="M67" s="51">
        <f>IF(A67="","",K67/2080)</f>
        <v/>
      </c>
      <c r="N67" s="51">
        <f>IF(A67="","",B67+C67+D67+E67+I67+J67)</f>
        <v/>
      </c>
      <c r="O67" s="51">
        <f>IF(A67="","",N67*0.25)</f>
        <v/>
      </c>
      <c r="P67" s="51">
        <f>IF(A67="","",N67-O67)</f>
        <v/>
      </c>
      <c r="Q67" s="51">
        <f>IF(A67="","",ROUND(B67*0.4+C67*0.1+D67*0.1+E67*0.1+IF(G67="Yes",5000,0)*0.1+F67*500*0.1+IF(H67="Yes",5000,0)*0.1,0))</f>
        <v/>
      </c>
      <c r="R67" s="48">
        <f>IF(A67="","",ROUND(Q67/1000,1))</f>
        <v/>
      </c>
      <c r="S67" s="48">
        <f>IF(A67="","",RANK(R67,$R$2:$R$500,0))</f>
        <v/>
      </c>
    </row>
    <row r="68" ht="22" customHeight="1">
      <c r="A68" s="46" t="n"/>
      <c r="B68" s="50" t="n"/>
      <c r="C68" s="50" t="n"/>
      <c r="D68" s="50" t="n"/>
      <c r="E68" s="50" t="n"/>
      <c r="F68" s="46" t="n"/>
      <c r="G68" s="46" t="n"/>
      <c r="H68" s="46" t="n"/>
      <c r="I68" s="50" t="n"/>
      <c r="J68" s="50" t="n"/>
      <c r="K68" s="50">
        <f>IF(A68="","",B68+C68)</f>
        <v/>
      </c>
      <c r="L68" s="50">
        <f>IF(A68="","",K68/12)</f>
        <v/>
      </c>
      <c r="M68" s="50">
        <f>IF(A68="","",K68/2080)</f>
        <v/>
      </c>
      <c r="N68" s="50">
        <f>IF(A68="","",B68+C68+D68+E68+I68+J68)</f>
        <v/>
      </c>
      <c r="O68" s="50">
        <f>IF(A68="","",N68*0.25)</f>
        <v/>
      </c>
      <c r="P68" s="50">
        <f>IF(A68="","",N68-O68)</f>
        <v/>
      </c>
      <c r="Q68" s="50">
        <f>IF(A68="","",ROUND(B68*0.4+C68*0.1+D68*0.1+E68*0.1+IF(G68="Yes",5000,0)*0.1+F68*500*0.1+IF(H68="Yes",5000,0)*0.1,0))</f>
        <v/>
      </c>
      <c r="R68" s="46">
        <f>IF(A68="","",ROUND(Q68/1000,1))</f>
        <v/>
      </c>
      <c r="S68" s="46">
        <f>IF(A68="","",RANK(R68,$R$2:$R$500,0))</f>
        <v/>
      </c>
    </row>
    <row r="69" ht="22" customHeight="1">
      <c r="A69" s="48" t="n"/>
      <c r="B69" s="51" t="n"/>
      <c r="C69" s="51" t="n"/>
      <c r="D69" s="51" t="n"/>
      <c r="E69" s="51" t="n"/>
      <c r="F69" s="48" t="n"/>
      <c r="G69" s="48" t="n"/>
      <c r="H69" s="48" t="n"/>
      <c r="I69" s="51" t="n"/>
      <c r="J69" s="51" t="n"/>
      <c r="K69" s="51">
        <f>IF(A69="","",B69+C69)</f>
        <v/>
      </c>
      <c r="L69" s="51">
        <f>IF(A69="","",K69/12)</f>
        <v/>
      </c>
      <c r="M69" s="51">
        <f>IF(A69="","",K69/2080)</f>
        <v/>
      </c>
      <c r="N69" s="51">
        <f>IF(A69="","",B69+C69+D69+E69+I69+J69)</f>
        <v/>
      </c>
      <c r="O69" s="51">
        <f>IF(A69="","",N69*0.25)</f>
        <v/>
      </c>
      <c r="P69" s="51">
        <f>IF(A69="","",N69-O69)</f>
        <v/>
      </c>
      <c r="Q69" s="51">
        <f>IF(A69="","",ROUND(B69*0.4+C69*0.1+D69*0.1+E69*0.1+IF(G69="Yes",5000,0)*0.1+F69*500*0.1+IF(H69="Yes",5000,0)*0.1,0))</f>
        <v/>
      </c>
      <c r="R69" s="48">
        <f>IF(A69="","",ROUND(Q69/1000,1))</f>
        <v/>
      </c>
      <c r="S69" s="48">
        <f>IF(A69="","",RANK(R69,$R$2:$R$500,0))</f>
        <v/>
      </c>
    </row>
    <row r="70" ht="22" customHeight="1">
      <c r="A70" s="46" t="n"/>
      <c r="B70" s="50" t="n"/>
      <c r="C70" s="50" t="n"/>
      <c r="D70" s="50" t="n"/>
      <c r="E70" s="50" t="n"/>
      <c r="F70" s="46" t="n"/>
      <c r="G70" s="46" t="n"/>
      <c r="H70" s="46" t="n"/>
      <c r="I70" s="50" t="n"/>
      <c r="J70" s="50" t="n"/>
      <c r="K70" s="50">
        <f>IF(A70="","",B70+C70)</f>
        <v/>
      </c>
      <c r="L70" s="50">
        <f>IF(A70="","",K70/12)</f>
        <v/>
      </c>
      <c r="M70" s="50">
        <f>IF(A70="","",K70/2080)</f>
        <v/>
      </c>
      <c r="N70" s="50">
        <f>IF(A70="","",B70+C70+D70+E70+I70+J70)</f>
        <v/>
      </c>
      <c r="O70" s="50">
        <f>IF(A70="","",N70*0.25)</f>
        <v/>
      </c>
      <c r="P70" s="50">
        <f>IF(A70="","",N70-O70)</f>
        <v/>
      </c>
      <c r="Q70" s="50">
        <f>IF(A70="","",ROUND(B70*0.4+C70*0.1+D70*0.1+E70*0.1+IF(G70="Yes",5000,0)*0.1+F70*500*0.1+IF(H70="Yes",5000,0)*0.1,0))</f>
        <v/>
      </c>
      <c r="R70" s="46">
        <f>IF(A70="","",ROUND(Q70/1000,1))</f>
        <v/>
      </c>
      <c r="S70" s="46">
        <f>IF(A70="","",RANK(R70,$R$2:$R$500,0))</f>
        <v/>
      </c>
    </row>
    <row r="71" ht="22" customHeight="1">
      <c r="A71" s="48" t="n"/>
      <c r="B71" s="51" t="n"/>
      <c r="C71" s="51" t="n"/>
      <c r="D71" s="51" t="n"/>
      <c r="E71" s="51" t="n"/>
      <c r="F71" s="48" t="n"/>
      <c r="G71" s="48" t="n"/>
      <c r="H71" s="48" t="n"/>
      <c r="I71" s="51" t="n"/>
      <c r="J71" s="51" t="n"/>
      <c r="K71" s="51">
        <f>IF(A71="","",B71+C71)</f>
        <v/>
      </c>
      <c r="L71" s="51">
        <f>IF(A71="","",K71/12)</f>
        <v/>
      </c>
      <c r="M71" s="51">
        <f>IF(A71="","",K71/2080)</f>
        <v/>
      </c>
      <c r="N71" s="51">
        <f>IF(A71="","",B71+C71+D71+E71+I71+J71)</f>
        <v/>
      </c>
      <c r="O71" s="51">
        <f>IF(A71="","",N71*0.25)</f>
        <v/>
      </c>
      <c r="P71" s="51">
        <f>IF(A71="","",N71-O71)</f>
        <v/>
      </c>
      <c r="Q71" s="51">
        <f>IF(A71="","",ROUND(B71*0.4+C71*0.1+D71*0.1+E71*0.1+IF(G71="Yes",5000,0)*0.1+F71*500*0.1+IF(H71="Yes",5000,0)*0.1,0))</f>
        <v/>
      </c>
      <c r="R71" s="48">
        <f>IF(A71="","",ROUND(Q71/1000,1))</f>
        <v/>
      </c>
      <c r="S71" s="48">
        <f>IF(A71="","",RANK(R71,$R$2:$R$500,0))</f>
        <v/>
      </c>
    </row>
    <row r="72" ht="22" customHeight="1">
      <c r="A72" s="46" t="n"/>
      <c r="B72" s="50" t="n"/>
      <c r="C72" s="50" t="n"/>
      <c r="D72" s="50" t="n"/>
      <c r="E72" s="50" t="n"/>
      <c r="F72" s="46" t="n"/>
      <c r="G72" s="46" t="n"/>
      <c r="H72" s="46" t="n"/>
      <c r="I72" s="50" t="n"/>
      <c r="J72" s="50" t="n"/>
      <c r="K72" s="50">
        <f>IF(A72="","",B72+C72)</f>
        <v/>
      </c>
      <c r="L72" s="50">
        <f>IF(A72="","",K72/12)</f>
        <v/>
      </c>
      <c r="M72" s="50">
        <f>IF(A72="","",K72/2080)</f>
        <v/>
      </c>
      <c r="N72" s="50">
        <f>IF(A72="","",B72+C72+D72+E72+I72+J72)</f>
        <v/>
      </c>
      <c r="O72" s="50">
        <f>IF(A72="","",N72*0.25)</f>
        <v/>
      </c>
      <c r="P72" s="50">
        <f>IF(A72="","",N72-O72)</f>
        <v/>
      </c>
      <c r="Q72" s="50">
        <f>IF(A72="","",ROUND(B72*0.4+C72*0.1+D72*0.1+E72*0.1+IF(G72="Yes",5000,0)*0.1+F72*500*0.1+IF(H72="Yes",5000,0)*0.1,0))</f>
        <v/>
      </c>
      <c r="R72" s="46">
        <f>IF(A72="","",ROUND(Q72/1000,1))</f>
        <v/>
      </c>
      <c r="S72" s="46">
        <f>IF(A72="","",RANK(R72,$R$2:$R$500,0))</f>
        <v/>
      </c>
    </row>
    <row r="73" ht="22" customHeight="1">
      <c r="A73" s="48" t="n"/>
      <c r="B73" s="51" t="n"/>
      <c r="C73" s="51" t="n"/>
      <c r="D73" s="51" t="n"/>
      <c r="E73" s="51" t="n"/>
      <c r="F73" s="48" t="n"/>
      <c r="G73" s="48" t="n"/>
      <c r="H73" s="48" t="n"/>
      <c r="I73" s="51" t="n"/>
      <c r="J73" s="51" t="n"/>
      <c r="K73" s="51">
        <f>IF(A73="","",B73+C73)</f>
        <v/>
      </c>
      <c r="L73" s="51">
        <f>IF(A73="","",K73/12)</f>
        <v/>
      </c>
      <c r="M73" s="51">
        <f>IF(A73="","",K73/2080)</f>
        <v/>
      </c>
      <c r="N73" s="51">
        <f>IF(A73="","",B73+C73+D73+E73+I73+J73)</f>
        <v/>
      </c>
      <c r="O73" s="51">
        <f>IF(A73="","",N73*0.25)</f>
        <v/>
      </c>
      <c r="P73" s="51">
        <f>IF(A73="","",N73-O73)</f>
        <v/>
      </c>
      <c r="Q73" s="51">
        <f>IF(A73="","",ROUND(B73*0.4+C73*0.1+D73*0.1+E73*0.1+IF(G73="Yes",5000,0)*0.1+F73*500*0.1+IF(H73="Yes",5000,0)*0.1,0))</f>
        <v/>
      </c>
      <c r="R73" s="48">
        <f>IF(A73="","",ROUND(Q73/1000,1))</f>
        <v/>
      </c>
      <c r="S73" s="48">
        <f>IF(A73="","",RANK(R73,$R$2:$R$500,0))</f>
        <v/>
      </c>
    </row>
    <row r="74" ht="22" customHeight="1">
      <c r="A74" s="46" t="n"/>
      <c r="B74" s="50" t="n"/>
      <c r="C74" s="50" t="n"/>
      <c r="D74" s="50" t="n"/>
      <c r="E74" s="50" t="n"/>
      <c r="F74" s="46" t="n"/>
      <c r="G74" s="46" t="n"/>
      <c r="H74" s="46" t="n"/>
      <c r="I74" s="50" t="n"/>
      <c r="J74" s="50" t="n"/>
      <c r="K74" s="50">
        <f>IF(A74="","",B74+C74)</f>
        <v/>
      </c>
      <c r="L74" s="50">
        <f>IF(A74="","",K74/12)</f>
        <v/>
      </c>
      <c r="M74" s="50">
        <f>IF(A74="","",K74/2080)</f>
        <v/>
      </c>
      <c r="N74" s="50">
        <f>IF(A74="","",B74+C74+D74+E74+I74+J74)</f>
        <v/>
      </c>
      <c r="O74" s="50">
        <f>IF(A74="","",N74*0.25)</f>
        <v/>
      </c>
      <c r="P74" s="50">
        <f>IF(A74="","",N74-O74)</f>
        <v/>
      </c>
      <c r="Q74" s="50">
        <f>IF(A74="","",ROUND(B74*0.4+C74*0.1+D74*0.1+E74*0.1+IF(G74="Yes",5000,0)*0.1+F74*500*0.1+IF(H74="Yes",5000,0)*0.1,0))</f>
        <v/>
      </c>
      <c r="R74" s="46">
        <f>IF(A74="","",ROUND(Q74/1000,1))</f>
        <v/>
      </c>
      <c r="S74" s="46">
        <f>IF(A74="","",RANK(R74,$R$2:$R$500,0))</f>
        <v/>
      </c>
    </row>
    <row r="75" ht="22" customHeight="1">
      <c r="A75" s="48" t="n"/>
      <c r="B75" s="51" t="n"/>
      <c r="C75" s="51" t="n"/>
      <c r="D75" s="51" t="n"/>
      <c r="E75" s="51" t="n"/>
      <c r="F75" s="48" t="n"/>
      <c r="G75" s="48" t="n"/>
      <c r="H75" s="48" t="n"/>
      <c r="I75" s="51" t="n"/>
      <c r="J75" s="51" t="n"/>
      <c r="K75" s="51">
        <f>IF(A75="","",B75+C75)</f>
        <v/>
      </c>
      <c r="L75" s="51">
        <f>IF(A75="","",K75/12)</f>
        <v/>
      </c>
      <c r="M75" s="51">
        <f>IF(A75="","",K75/2080)</f>
        <v/>
      </c>
      <c r="N75" s="51">
        <f>IF(A75="","",B75+C75+D75+E75+I75+J75)</f>
        <v/>
      </c>
      <c r="O75" s="51">
        <f>IF(A75="","",N75*0.25)</f>
        <v/>
      </c>
      <c r="P75" s="51">
        <f>IF(A75="","",N75-O75)</f>
        <v/>
      </c>
      <c r="Q75" s="51">
        <f>IF(A75="","",ROUND(B75*0.4+C75*0.1+D75*0.1+E75*0.1+IF(G75="Yes",5000,0)*0.1+F75*500*0.1+IF(H75="Yes",5000,0)*0.1,0))</f>
        <v/>
      </c>
      <c r="R75" s="48">
        <f>IF(A75="","",ROUND(Q75/1000,1))</f>
        <v/>
      </c>
      <c r="S75" s="48">
        <f>IF(A75="","",RANK(R75,$R$2:$R$500,0))</f>
        <v/>
      </c>
    </row>
    <row r="76" ht="22" customHeight="1">
      <c r="A76" s="46" t="n"/>
      <c r="B76" s="50" t="n"/>
      <c r="C76" s="50" t="n"/>
      <c r="D76" s="50" t="n"/>
      <c r="E76" s="50" t="n"/>
      <c r="F76" s="46" t="n"/>
      <c r="G76" s="46" t="n"/>
      <c r="H76" s="46" t="n"/>
      <c r="I76" s="50" t="n"/>
      <c r="J76" s="50" t="n"/>
      <c r="K76" s="50">
        <f>IF(A76="","",B76+C76)</f>
        <v/>
      </c>
      <c r="L76" s="50">
        <f>IF(A76="","",K76/12)</f>
        <v/>
      </c>
      <c r="M76" s="50">
        <f>IF(A76="","",K76/2080)</f>
        <v/>
      </c>
      <c r="N76" s="50">
        <f>IF(A76="","",B76+C76+D76+E76+I76+J76)</f>
        <v/>
      </c>
      <c r="O76" s="50">
        <f>IF(A76="","",N76*0.25)</f>
        <v/>
      </c>
      <c r="P76" s="50">
        <f>IF(A76="","",N76-O76)</f>
        <v/>
      </c>
      <c r="Q76" s="50">
        <f>IF(A76="","",ROUND(B76*0.4+C76*0.1+D76*0.1+E76*0.1+IF(G76="Yes",5000,0)*0.1+F76*500*0.1+IF(H76="Yes",5000,0)*0.1,0))</f>
        <v/>
      </c>
      <c r="R76" s="46">
        <f>IF(A76="","",ROUND(Q76/1000,1))</f>
        <v/>
      </c>
      <c r="S76" s="46">
        <f>IF(A76="","",RANK(R76,$R$2:$R$500,0))</f>
        <v/>
      </c>
    </row>
    <row r="77" ht="22" customHeight="1">
      <c r="A77" s="48" t="n"/>
      <c r="B77" s="51" t="n"/>
      <c r="C77" s="51" t="n"/>
      <c r="D77" s="51" t="n"/>
      <c r="E77" s="51" t="n"/>
      <c r="F77" s="48" t="n"/>
      <c r="G77" s="48" t="n"/>
      <c r="H77" s="48" t="n"/>
      <c r="I77" s="51" t="n"/>
      <c r="J77" s="51" t="n"/>
      <c r="K77" s="51">
        <f>IF(A77="","",B77+C77)</f>
        <v/>
      </c>
      <c r="L77" s="51">
        <f>IF(A77="","",K77/12)</f>
        <v/>
      </c>
      <c r="M77" s="51">
        <f>IF(A77="","",K77/2080)</f>
        <v/>
      </c>
      <c r="N77" s="51">
        <f>IF(A77="","",B77+C77+D77+E77+I77+J77)</f>
        <v/>
      </c>
      <c r="O77" s="51">
        <f>IF(A77="","",N77*0.25)</f>
        <v/>
      </c>
      <c r="P77" s="51">
        <f>IF(A77="","",N77-O77)</f>
        <v/>
      </c>
      <c r="Q77" s="51">
        <f>IF(A77="","",ROUND(B77*0.4+C77*0.1+D77*0.1+E77*0.1+IF(G77="Yes",5000,0)*0.1+F77*500*0.1+IF(H77="Yes",5000,0)*0.1,0))</f>
        <v/>
      </c>
      <c r="R77" s="48">
        <f>IF(A77="","",ROUND(Q77/1000,1))</f>
        <v/>
      </c>
      <c r="S77" s="48">
        <f>IF(A77="","",RANK(R77,$R$2:$R$500,0))</f>
        <v/>
      </c>
    </row>
    <row r="78" ht="22" customHeight="1">
      <c r="A78" s="46" t="n"/>
      <c r="B78" s="50" t="n"/>
      <c r="C78" s="50" t="n"/>
      <c r="D78" s="50" t="n"/>
      <c r="E78" s="50" t="n"/>
      <c r="F78" s="46" t="n"/>
      <c r="G78" s="46" t="n"/>
      <c r="H78" s="46" t="n"/>
      <c r="I78" s="50" t="n"/>
      <c r="J78" s="50" t="n"/>
      <c r="K78" s="50">
        <f>IF(A78="","",B78+C78)</f>
        <v/>
      </c>
      <c r="L78" s="50">
        <f>IF(A78="","",K78/12)</f>
        <v/>
      </c>
      <c r="M78" s="50">
        <f>IF(A78="","",K78/2080)</f>
        <v/>
      </c>
      <c r="N78" s="50">
        <f>IF(A78="","",B78+C78+D78+E78+I78+J78)</f>
        <v/>
      </c>
      <c r="O78" s="50">
        <f>IF(A78="","",N78*0.25)</f>
        <v/>
      </c>
      <c r="P78" s="50">
        <f>IF(A78="","",N78-O78)</f>
        <v/>
      </c>
      <c r="Q78" s="50">
        <f>IF(A78="","",ROUND(B78*0.4+C78*0.1+D78*0.1+E78*0.1+IF(G78="Yes",5000,0)*0.1+F78*500*0.1+IF(H78="Yes",5000,0)*0.1,0))</f>
        <v/>
      </c>
      <c r="R78" s="46">
        <f>IF(A78="","",ROUND(Q78/1000,1))</f>
        <v/>
      </c>
      <c r="S78" s="46">
        <f>IF(A78="","",RANK(R78,$R$2:$R$500,0))</f>
        <v/>
      </c>
    </row>
    <row r="79" ht="22" customHeight="1">
      <c r="A79" s="48" t="n"/>
      <c r="B79" s="51" t="n"/>
      <c r="C79" s="51" t="n"/>
      <c r="D79" s="51" t="n"/>
      <c r="E79" s="51" t="n"/>
      <c r="F79" s="48" t="n"/>
      <c r="G79" s="48" t="n"/>
      <c r="H79" s="48" t="n"/>
      <c r="I79" s="51" t="n"/>
      <c r="J79" s="51" t="n"/>
      <c r="K79" s="51">
        <f>IF(A79="","",B79+C79)</f>
        <v/>
      </c>
      <c r="L79" s="51">
        <f>IF(A79="","",K79/12)</f>
        <v/>
      </c>
      <c r="M79" s="51">
        <f>IF(A79="","",K79/2080)</f>
        <v/>
      </c>
      <c r="N79" s="51">
        <f>IF(A79="","",B79+C79+D79+E79+I79+J79)</f>
        <v/>
      </c>
      <c r="O79" s="51">
        <f>IF(A79="","",N79*0.25)</f>
        <v/>
      </c>
      <c r="P79" s="51">
        <f>IF(A79="","",N79-O79)</f>
        <v/>
      </c>
      <c r="Q79" s="51">
        <f>IF(A79="","",ROUND(B79*0.4+C79*0.1+D79*0.1+E79*0.1+IF(G79="Yes",5000,0)*0.1+F79*500*0.1+IF(H79="Yes",5000,0)*0.1,0))</f>
        <v/>
      </c>
      <c r="R79" s="48">
        <f>IF(A79="","",ROUND(Q79/1000,1))</f>
        <v/>
      </c>
      <c r="S79" s="48">
        <f>IF(A79="","",RANK(R79,$R$2:$R$500,0))</f>
        <v/>
      </c>
    </row>
    <row r="80" ht="22" customHeight="1">
      <c r="A80" s="46" t="n"/>
      <c r="B80" s="50" t="n"/>
      <c r="C80" s="50" t="n"/>
      <c r="D80" s="50" t="n"/>
      <c r="E80" s="50" t="n"/>
      <c r="F80" s="46" t="n"/>
      <c r="G80" s="46" t="n"/>
      <c r="H80" s="46" t="n"/>
      <c r="I80" s="50" t="n"/>
      <c r="J80" s="50" t="n"/>
      <c r="K80" s="50">
        <f>IF(A80="","",B80+C80)</f>
        <v/>
      </c>
      <c r="L80" s="50">
        <f>IF(A80="","",K80/12)</f>
        <v/>
      </c>
      <c r="M80" s="50">
        <f>IF(A80="","",K80/2080)</f>
        <v/>
      </c>
      <c r="N80" s="50">
        <f>IF(A80="","",B80+C80+D80+E80+I80+J80)</f>
        <v/>
      </c>
      <c r="O80" s="50">
        <f>IF(A80="","",N80*0.25)</f>
        <v/>
      </c>
      <c r="P80" s="50">
        <f>IF(A80="","",N80-O80)</f>
        <v/>
      </c>
      <c r="Q80" s="50">
        <f>IF(A80="","",ROUND(B80*0.4+C80*0.1+D80*0.1+E80*0.1+IF(G80="Yes",5000,0)*0.1+F80*500*0.1+IF(H80="Yes",5000,0)*0.1,0))</f>
        <v/>
      </c>
      <c r="R80" s="46">
        <f>IF(A80="","",ROUND(Q80/1000,1))</f>
        <v/>
      </c>
      <c r="S80" s="46">
        <f>IF(A80="","",RANK(R80,$R$2:$R$500,0))</f>
        <v/>
      </c>
    </row>
    <row r="81" ht="22" customHeight="1">
      <c r="A81" s="48" t="n"/>
      <c r="B81" s="51" t="n"/>
      <c r="C81" s="51" t="n"/>
      <c r="D81" s="51" t="n"/>
      <c r="E81" s="51" t="n"/>
      <c r="F81" s="48" t="n"/>
      <c r="G81" s="48" t="n"/>
      <c r="H81" s="48" t="n"/>
      <c r="I81" s="51" t="n"/>
      <c r="J81" s="51" t="n"/>
      <c r="K81" s="51">
        <f>IF(A81="","",B81+C81)</f>
        <v/>
      </c>
      <c r="L81" s="51">
        <f>IF(A81="","",K81/12)</f>
        <v/>
      </c>
      <c r="M81" s="51">
        <f>IF(A81="","",K81/2080)</f>
        <v/>
      </c>
      <c r="N81" s="51">
        <f>IF(A81="","",B81+C81+D81+E81+I81+J81)</f>
        <v/>
      </c>
      <c r="O81" s="51">
        <f>IF(A81="","",N81*0.25)</f>
        <v/>
      </c>
      <c r="P81" s="51">
        <f>IF(A81="","",N81-O81)</f>
        <v/>
      </c>
      <c r="Q81" s="51">
        <f>IF(A81="","",ROUND(B81*0.4+C81*0.1+D81*0.1+E81*0.1+IF(G81="Yes",5000,0)*0.1+F81*500*0.1+IF(H81="Yes",5000,0)*0.1,0))</f>
        <v/>
      </c>
      <c r="R81" s="48">
        <f>IF(A81="","",ROUND(Q81/1000,1))</f>
        <v/>
      </c>
      <c r="S81" s="48">
        <f>IF(A81="","",RANK(R81,$R$2:$R$500,0))</f>
        <v/>
      </c>
    </row>
    <row r="82" ht="22" customHeight="1">
      <c r="A82" s="46" t="n"/>
      <c r="B82" s="50" t="n"/>
      <c r="C82" s="50" t="n"/>
      <c r="D82" s="50" t="n"/>
      <c r="E82" s="50" t="n"/>
      <c r="F82" s="46" t="n"/>
      <c r="G82" s="46" t="n"/>
      <c r="H82" s="46" t="n"/>
      <c r="I82" s="50" t="n"/>
      <c r="J82" s="50" t="n"/>
      <c r="K82" s="50">
        <f>IF(A82="","",B82+C82)</f>
        <v/>
      </c>
      <c r="L82" s="50">
        <f>IF(A82="","",K82/12)</f>
        <v/>
      </c>
      <c r="M82" s="50">
        <f>IF(A82="","",K82/2080)</f>
        <v/>
      </c>
      <c r="N82" s="50">
        <f>IF(A82="","",B82+C82+D82+E82+I82+J82)</f>
        <v/>
      </c>
      <c r="O82" s="50">
        <f>IF(A82="","",N82*0.25)</f>
        <v/>
      </c>
      <c r="P82" s="50">
        <f>IF(A82="","",N82-O82)</f>
        <v/>
      </c>
      <c r="Q82" s="50">
        <f>IF(A82="","",ROUND(B82*0.4+C82*0.1+D82*0.1+E82*0.1+IF(G82="Yes",5000,0)*0.1+F82*500*0.1+IF(H82="Yes",5000,0)*0.1,0))</f>
        <v/>
      </c>
      <c r="R82" s="46">
        <f>IF(A82="","",ROUND(Q82/1000,1))</f>
        <v/>
      </c>
      <c r="S82" s="46">
        <f>IF(A82="","",RANK(R82,$R$2:$R$500,0))</f>
        <v/>
      </c>
    </row>
    <row r="83" ht="22" customHeight="1">
      <c r="A83" s="48" t="n"/>
      <c r="B83" s="51" t="n"/>
      <c r="C83" s="51" t="n"/>
      <c r="D83" s="51" t="n"/>
      <c r="E83" s="51" t="n"/>
      <c r="F83" s="48" t="n"/>
      <c r="G83" s="48" t="n"/>
      <c r="H83" s="48" t="n"/>
      <c r="I83" s="51" t="n"/>
      <c r="J83" s="51" t="n"/>
      <c r="K83" s="51">
        <f>IF(A83="","",B83+C83)</f>
        <v/>
      </c>
      <c r="L83" s="51">
        <f>IF(A83="","",K83/12)</f>
        <v/>
      </c>
      <c r="M83" s="51">
        <f>IF(A83="","",K83/2080)</f>
        <v/>
      </c>
      <c r="N83" s="51">
        <f>IF(A83="","",B83+C83+D83+E83+I83+J83)</f>
        <v/>
      </c>
      <c r="O83" s="51">
        <f>IF(A83="","",N83*0.25)</f>
        <v/>
      </c>
      <c r="P83" s="51">
        <f>IF(A83="","",N83-O83)</f>
        <v/>
      </c>
      <c r="Q83" s="51">
        <f>IF(A83="","",ROUND(B83*0.4+C83*0.1+D83*0.1+E83*0.1+IF(G83="Yes",5000,0)*0.1+F83*500*0.1+IF(H83="Yes",5000,0)*0.1,0))</f>
        <v/>
      </c>
      <c r="R83" s="48">
        <f>IF(A83="","",ROUND(Q83/1000,1))</f>
        <v/>
      </c>
      <c r="S83" s="48">
        <f>IF(A83="","",RANK(R83,$R$2:$R$500,0))</f>
        <v/>
      </c>
    </row>
    <row r="84" ht="22" customHeight="1">
      <c r="A84" s="46" t="n"/>
      <c r="B84" s="50" t="n"/>
      <c r="C84" s="50" t="n"/>
      <c r="D84" s="50" t="n"/>
      <c r="E84" s="50" t="n"/>
      <c r="F84" s="46" t="n"/>
      <c r="G84" s="46" t="n"/>
      <c r="H84" s="46" t="n"/>
      <c r="I84" s="50" t="n"/>
      <c r="J84" s="50" t="n"/>
      <c r="K84" s="50">
        <f>IF(A84="","",B84+C84)</f>
        <v/>
      </c>
      <c r="L84" s="50">
        <f>IF(A84="","",K84/12)</f>
        <v/>
      </c>
      <c r="M84" s="50">
        <f>IF(A84="","",K84/2080)</f>
        <v/>
      </c>
      <c r="N84" s="50">
        <f>IF(A84="","",B84+C84+D84+E84+I84+J84)</f>
        <v/>
      </c>
      <c r="O84" s="50">
        <f>IF(A84="","",N84*0.25)</f>
        <v/>
      </c>
      <c r="P84" s="50">
        <f>IF(A84="","",N84-O84)</f>
        <v/>
      </c>
      <c r="Q84" s="50">
        <f>IF(A84="","",ROUND(B84*0.4+C84*0.1+D84*0.1+E84*0.1+IF(G84="Yes",5000,0)*0.1+F84*500*0.1+IF(H84="Yes",5000,0)*0.1,0))</f>
        <v/>
      </c>
      <c r="R84" s="46">
        <f>IF(A84="","",ROUND(Q84/1000,1))</f>
        <v/>
      </c>
      <c r="S84" s="46">
        <f>IF(A84="","",RANK(R84,$R$2:$R$500,0))</f>
        <v/>
      </c>
    </row>
    <row r="85" ht="22" customHeight="1">
      <c r="A85" s="48" t="n"/>
      <c r="B85" s="51" t="n"/>
      <c r="C85" s="51" t="n"/>
      <c r="D85" s="51" t="n"/>
      <c r="E85" s="51" t="n"/>
      <c r="F85" s="48" t="n"/>
      <c r="G85" s="48" t="n"/>
      <c r="H85" s="48" t="n"/>
      <c r="I85" s="51" t="n"/>
      <c r="J85" s="51" t="n"/>
      <c r="K85" s="51">
        <f>IF(A85="","",B85+C85)</f>
        <v/>
      </c>
      <c r="L85" s="51">
        <f>IF(A85="","",K85/12)</f>
        <v/>
      </c>
      <c r="M85" s="51">
        <f>IF(A85="","",K85/2080)</f>
        <v/>
      </c>
      <c r="N85" s="51">
        <f>IF(A85="","",B85+C85+D85+E85+I85+J85)</f>
        <v/>
      </c>
      <c r="O85" s="51">
        <f>IF(A85="","",N85*0.25)</f>
        <v/>
      </c>
      <c r="P85" s="51">
        <f>IF(A85="","",N85-O85)</f>
        <v/>
      </c>
      <c r="Q85" s="51">
        <f>IF(A85="","",ROUND(B85*0.4+C85*0.1+D85*0.1+E85*0.1+IF(G85="Yes",5000,0)*0.1+F85*500*0.1+IF(H85="Yes",5000,0)*0.1,0))</f>
        <v/>
      </c>
      <c r="R85" s="48">
        <f>IF(A85="","",ROUND(Q85/1000,1))</f>
        <v/>
      </c>
      <c r="S85" s="48">
        <f>IF(A85="","",RANK(R85,$R$2:$R$500,0))</f>
        <v/>
      </c>
    </row>
    <row r="86" ht="22" customHeight="1">
      <c r="A86" s="46" t="n"/>
      <c r="B86" s="50" t="n"/>
      <c r="C86" s="50" t="n"/>
      <c r="D86" s="50" t="n"/>
      <c r="E86" s="50" t="n"/>
      <c r="F86" s="46" t="n"/>
      <c r="G86" s="46" t="n"/>
      <c r="H86" s="46" t="n"/>
      <c r="I86" s="50" t="n"/>
      <c r="J86" s="50" t="n"/>
      <c r="K86" s="50">
        <f>IF(A86="","",B86+C86)</f>
        <v/>
      </c>
      <c r="L86" s="50">
        <f>IF(A86="","",K86/12)</f>
        <v/>
      </c>
      <c r="M86" s="50">
        <f>IF(A86="","",K86/2080)</f>
        <v/>
      </c>
      <c r="N86" s="50">
        <f>IF(A86="","",B86+C86+D86+E86+I86+J86)</f>
        <v/>
      </c>
      <c r="O86" s="50">
        <f>IF(A86="","",N86*0.25)</f>
        <v/>
      </c>
      <c r="P86" s="50">
        <f>IF(A86="","",N86-O86)</f>
        <v/>
      </c>
      <c r="Q86" s="50">
        <f>IF(A86="","",ROUND(B86*0.4+C86*0.1+D86*0.1+E86*0.1+IF(G86="Yes",5000,0)*0.1+F86*500*0.1+IF(H86="Yes",5000,0)*0.1,0))</f>
        <v/>
      </c>
      <c r="R86" s="46">
        <f>IF(A86="","",ROUND(Q86/1000,1))</f>
        <v/>
      </c>
      <c r="S86" s="46">
        <f>IF(A86="","",RANK(R86,$R$2:$R$500,0))</f>
        <v/>
      </c>
    </row>
    <row r="87" ht="22" customHeight="1">
      <c r="A87" s="48" t="n"/>
      <c r="B87" s="51" t="n"/>
      <c r="C87" s="51" t="n"/>
      <c r="D87" s="51" t="n"/>
      <c r="E87" s="51" t="n"/>
      <c r="F87" s="48" t="n"/>
      <c r="G87" s="48" t="n"/>
      <c r="H87" s="48" t="n"/>
      <c r="I87" s="51" t="n"/>
      <c r="J87" s="51" t="n"/>
      <c r="K87" s="51">
        <f>IF(A87="","",B87+C87)</f>
        <v/>
      </c>
      <c r="L87" s="51">
        <f>IF(A87="","",K87/12)</f>
        <v/>
      </c>
      <c r="M87" s="51">
        <f>IF(A87="","",K87/2080)</f>
        <v/>
      </c>
      <c r="N87" s="51">
        <f>IF(A87="","",B87+C87+D87+E87+I87+J87)</f>
        <v/>
      </c>
      <c r="O87" s="51">
        <f>IF(A87="","",N87*0.25)</f>
        <v/>
      </c>
      <c r="P87" s="51">
        <f>IF(A87="","",N87-O87)</f>
        <v/>
      </c>
      <c r="Q87" s="51">
        <f>IF(A87="","",ROUND(B87*0.4+C87*0.1+D87*0.1+E87*0.1+IF(G87="Yes",5000,0)*0.1+F87*500*0.1+IF(H87="Yes",5000,0)*0.1,0))</f>
        <v/>
      </c>
      <c r="R87" s="48">
        <f>IF(A87="","",ROUND(Q87/1000,1))</f>
        <v/>
      </c>
      <c r="S87" s="48">
        <f>IF(A87="","",RANK(R87,$R$2:$R$500,0))</f>
        <v/>
      </c>
    </row>
    <row r="88" ht="22" customHeight="1">
      <c r="A88" s="46" t="n"/>
      <c r="B88" s="50" t="n"/>
      <c r="C88" s="50" t="n"/>
      <c r="D88" s="50" t="n"/>
      <c r="E88" s="50" t="n"/>
      <c r="F88" s="46" t="n"/>
      <c r="G88" s="46" t="n"/>
      <c r="H88" s="46" t="n"/>
      <c r="I88" s="50" t="n"/>
      <c r="J88" s="50" t="n"/>
      <c r="K88" s="50">
        <f>IF(A88="","",B88+C88)</f>
        <v/>
      </c>
      <c r="L88" s="50">
        <f>IF(A88="","",K88/12)</f>
        <v/>
      </c>
      <c r="M88" s="50">
        <f>IF(A88="","",K88/2080)</f>
        <v/>
      </c>
      <c r="N88" s="50">
        <f>IF(A88="","",B88+C88+D88+E88+I88+J88)</f>
        <v/>
      </c>
      <c r="O88" s="50">
        <f>IF(A88="","",N88*0.25)</f>
        <v/>
      </c>
      <c r="P88" s="50">
        <f>IF(A88="","",N88-O88)</f>
        <v/>
      </c>
      <c r="Q88" s="50">
        <f>IF(A88="","",ROUND(B88*0.4+C88*0.1+D88*0.1+E88*0.1+IF(G88="Yes",5000,0)*0.1+F88*500*0.1+IF(H88="Yes",5000,0)*0.1,0))</f>
        <v/>
      </c>
      <c r="R88" s="46">
        <f>IF(A88="","",ROUND(Q88/1000,1))</f>
        <v/>
      </c>
      <c r="S88" s="46">
        <f>IF(A88="","",RANK(R88,$R$2:$R$500,0))</f>
        <v/>
      </c>
    </row>
    <row r="89" ht="22" customHeight="1">
      <c r="A89" s="48" t="n"/>
      <c r="B89" s="51" t="n"/>
      <c r="C89" s="51" t="n"/>
      <c r="D89" s="51" t="n"/>
      <c r="E89" s="51" t="n"/>
      <c r="F89" s="48" t="n"/>
      <c r="G89" s="48" t="n"/>
      <c r="H89" s="48" t="n"/>
      <c r="I89" s="51" t="n"/>
      <c r="J89" s="51" t="n"/>
      <c r="K89" s="51">
        <f>IF(A89="","",B89+C89)</f>
        <v/>
      </c>
      <c r="L89" s="51">
        <f>IF(A89="","",K89/12)</f>
        <v/>
      </c>
      <c r="M89" s="51">
        <f>IF(A89="","",K89/2080)</f>
        <v/>
      </c>
      <c r="N89" s="51">
        <f>IF(A89="","",B89+C89+D89+E89+I89+J89)</f>
        <v/>
      </c>
      <c r="O89" s="51">
        <f>IF(A89="","",N89*0.25)</f>
        <v/>
      </c>
      <c r="P89" s="51">
        <f>IF(A89="","",N89-O89)</f>
        <v/>
      </c>
      <c r="Q89" s="51">
        <f>IF(A89="","",ROUND(B89*0.4+C89*0.1+D89*0.1+E89*0.1+IF(G89="Yes",5000,0)*0.1+F89*500*0.1+IF(H89="Yes",5000,0)*0.1,0))</f>
        <v/>
      </c>
      <c r="R89" s="48">
        <f>IF(A89="","",ROUND(Q89/1000,1))</f>
        <v/>
      </c>
      <c r="S89" s="48">
        <f>IF(A89="","",RANK(R89,$R$2:$R$500,0))</f>
        <v/>
      </c>
    </row>
    <row r="90" ht="22" customHeight="1">
      <c r="A90" s="46" t="n"/>
      <c r="B90" s="50" t="n"/>
      <c r="C90" s="50" t="n"/>
      <c r="D90" s="50" t="n"/>
      <c r="E90" s="50" t="n"/>
      <c r="F90" s="46" t="n"/>
      <c r="G90" s="46" t="n"/>
      <c r="H90" s="46" t="n"/>
      <c r="I90" s="50" t="n"/>
      <c r="J90" s="50" t="n"/>
      <c r="K90" s="50">
        <f>IF(A90="","",B90+C90)</f>
        <v/>
      </c>
      <c r="L90" s="50">
        <f>IF(A90="","",K90/12)</f>
        <v/>
      </c>
      <c r="M90" s="50">
        <f>IF(A90="","",K90/2080)</f>
        <v/>
      </c>
      <c r="N90" s="50">
        <f>IF(A90="","",B90+C90+D90+E90+I90+J90)</f>
        <v/>
      </c>
      <c r="O90" s="50">
        <f>IF(A90="","",N90*0.25)</f>
        <v/>
      </c>
      <c r="P90" s="50">
        <f>IF(A90="","",N90-O90)</f>
        <v/>
      </c>
      <c r="Q90" s="50">
        <f>IF(A90="","",ROUND(B90*0.4+C90*0.1+D90*0.1+E90*0.1+IF(G90="Yes",5000,0)*0.1+F90*500*0.1+IF(H90="Yes",5000,0)*0.1,0))</f>
        <v/>
      </c>
      <c r="R90" s="46">
        <f>IF(A90="","",ROUND(Q90/1000,1))</f>
        <v/>
      </c>
      <c r="S90" s="46">
        <f>IF(A90="","",RANK(R90,$R$2:$R$500,0))</f>
        <v/>
      </c>
    </row>
    <row r="91" ht="22" customHeight="1">
      <c r="A91" s="48" t="n"/>
      <c r="B91" s="51" t="n"/>
      <c r="C91" s="51" t="n"/>
      <c r="D91" s="51" t="n"/>
      <c r="E91" s="51" t="n"/>
      <c r="F91" s="48" t="n"/>
      <c r="G91" s="48" t="n"/>
      <c r="H91" s="48" t="n"/>
      <c r="I91" s="51" t="n"/>
      <c r="J91" s="51" t="n"/>
      <c r="K91" s="51">
        <f>IF(A91="","",B91+C91)</f>
        <v/>
      </c>
      <c r="L91" s="51">
        <f>IF(A91="","",K91/12)</f>
        <v/>
      </c>
      <c r="M91" s="51">
        <f>IF(A91="","",K91/2080)</f>
        <v/>
      </c>
      <c r="N91" s="51">
        <f>IF(A91="","",B91+C91+D91+E91+I91+J91)</f>
        <v/>
      </c>
      <c r="O91" s="51">
        <f>IF(A91="","",N91*0.25)</f>
        <v/>
      </c>
      <c r="P91" s="51">
        <f>IF(A91="","",N91-O91)</f>
        <v/>
      </c>
      <c r="Q91" s="51">
        <f>IF(A91="","",ROUND(B91*0.4+C91*0.1+D91*0.1+E91*0.1+IF(G91="Yes",5000,0)*0.1+F91*500*0.1+IF(H91="Yes",5000,0)*0.1,0))</f>
        <v/>
      </c>
      <c r="R91" s="48">
        <f>IF(A91="","",ROUND(Q91/1000,1))</f>
        <v/>
      </c>
      <c r="S91" s="48">
        <f>IF(A91="","",RANK(R91,$R$2:$R$500,0))</f>
        <v/>
      </c>
    </row>
    <row r="92" ht="22" customHeight="1">
      <c r="A92" s="46" t="n"/>
      <c r="B92" s="50" t="n"/>
      <c r="C92" s="50" t="n"/>
      <c r="D92" s="50" t="n"/>
      <c r="E92" s="50" t="n"/>
      <c r="F92" s="46" t="n"/>
      <c r="G92" s="46" t="n"/>
      <c r="H92" s="46" t="n"/>
      <c r="I92" s="50" t="n"/>
      <c r="J92" s="50" t="n"/>
      <c r="K92" s="50">
        <f>IF(A92="","",B92+C92)</f>
        <v/>
      </c>
      <c r="L92" s="50">
        <f>IF(A92="","",K92/12)</f>
        <v/>
      </c>
      <c r="M92" s="50">
        <f>IF(A92="","",K92/2080)</f>
        <v/>
      </c>
      <c r="N92" s="50">
        <f>IF(A92="","",B92+C92+D92+E92+I92+J92)</f>
        <v/>
      </c>
      <c r="O92" s="50">
        <f>IF(A92="","",N92*0.25)</f>
        <v/>
      </c>
      <c r="P92" s="50">
        <f>IF(A92="","",N92-O92)</f>
        <v/>
      </c>
      <c r="Q92" s="50">
        <f>IF(A92="","",ROUND(B92*0.4+C92*0.1+D92*0.1+E92*0.1+IF(G92="Yes",5000,0)*0.1+F92*500*0.1+IF(H92="Yes",5000,0)*0.1,0))</f>
        <v/>
      </c>
      <c r="R92" s="46">
        <f>IF(A92="","",ROUND(Q92/1000,1))</f>
        <v/>
      </c>
      <c r="S92" s="46">
        <f>IF(A92="","",RANK(R92,$R$2:$R$500,0))</f>
        <v/>
      </c>
    </row>
    <row r="93" ht="22" customHeight="1">
      <c r="A93" s="48" t="n"/>
      <c r="B93" s="51" t="n"/>
      <c r="C93" s="51" t="n"/>
      <c r="D93" s="51" t="n"/>
      <c r="E93" s="51" t="n"/>
      <c r="F93" s="48" t="n"/>
      <c r="G93" s="48" t="n"/>
      <c r="H93" s="48" t="n"/>
      <c r="I93" s="51" t="n"/>
      <c r="J93" s="51" t="n"/>
      <c r="K93" s="51">
        <f>IF(A93="","",B93+C93)</f>
        <v/>
      </c>
      <c r="L93" s="51">
        <f>IF(A93="","",K93/12)</f>
        <v/>
      </c>
      <c r="M93" s="51">
        <f>IF(A93="","",K93/2080)</f>
        <v/>
      </c>
      <c r="N93" s="51">
        <f>IF(A93="","",B93+C93+D93+E93+I93+J93)</f>
        <v/>
      </c>
      <c r="O93" s="51">
        <f>IF(A93="","",N93*0.25)</f>
        <v/>
      </c>
      <c r="P93" s="51">
        <f>IF(A93="","",N93-O93)</f>
        <v/>
      </c>
      <c r="Q93" s="51">
        <f>IF(A93="","",ROUND(B93*0.4+C93*0.1+D93*0.1+E93*0.1+IF(G93="Yes",5000,0)*0.1+F93*500*0.1+IF(H93="Yes",5000,0)*0.1,0))</f>
        <v/>
      </c>
      <c r="R93" s="48">
        <f>IF(A93="","",ROUND(Q93/1000,1))</f>
        <v/>
      </c>
      <c r="S93" s="48">
        <f>IF(A93="","",RANK(R93,$R$2:$R$500,0))</f>
        <v/>
      </c>
    </row>
    <row r="94" ht="22" customHeight="1">
      <c r="A94" s="46" t="n"/>
      <c r="B94" s="50" t="n"/>
      <c r="C94" s="50" t="n"/>
      <c r="D94" s="50" t="n"/>
      <c r="E94" s="50" t="n"/>
      <c r="F94" s="46" t="n"/>
      <c r="G94" s="46" t="n"/>
      <c r="H94" s="46" t="n"/>
      <c r="I94" s="50" t="n"/>
      <c r="J94" s="50" t="n"/>
      <c r="K94" s="50">
        <f>IF(A94="","",B94+C94)</f>
        <v/>
      </c>
      <c r="L94" s="50">
        <f>IF(A94="","",K94/12)</f>
        <v/>
      </c>
      <c r="M94" s="50">
        <f>IF(A94="","",K94/2080)</f>
        <v/>
      </c>
      <c r="N94" s="50">
        <f>IF(A94="","",B94+C94+D94+E94+I94+J94)</f>
        <v/>
      </c>
      <c r="O94" s="50">
        <f>IF(A94="","",N94*0.25)</f>
        <v/>
      </c>
      <c r="P94" s="50">
        <f>IF(A94="","",N94-O94)</f>
        <v/>
      </c>
      <c r="Q94" s="50">
        <f>IF(A94="","",ROUND(B94*0.4+C94*0.1+D94*0.1+E94*0.1+IF(G94="Yes",5000,0)*0.1+F94*500*0.1+IF(H94="Yes",5000,0)*0.1,0))</f>
        <v/>
      </c>
      <c r="R94" s="46">
        <f>IF(A94="","",ROUND(Q94/1000,1))</f>
        <v/>
      </c>
      <c r="S94" s="46">
        <f>IF(A94="","",RANK(R94,$R$2:$R$500,0))</f>
        <v/>
      </c>
    </row>
    <row r="95" ht="22" customHeight="1">
      <c r="A95" s="48" t="n"/>
      <c r="B95" s="51" t="n"/>
      <c r="C95" s="51" t="n"/>
      <c r="D95" s="51" t="n"/>
      <c r="E95" s="51" t="n"/>
      <c r="F95" s="48" t="n"/>
      <c r="G95" s="48" t="n"/>
      <c r="H95" s="48" t="n"/>
      <c r="I95" s="51" t="n"/>
      <c r="J95" s="51" t="n"/>
      <c r="K95" s="51">
        <f>IF(A95="","",B95+C95)</f>
        <v/>
      </c>
      <c r="L95" s="51">
        <f>IF(A95="","",K95/12)</f>
        <v/>
      </c>
      <c r="M95" s="51">
        <f>IF(A95="","",K95/2080)</f>
        <v/>
      </c>
      <c r="N95" s="51">
        <f>IF(A95="","",B95+C95+D95+E95+I95+J95)</f>
        <v/>
      </c>
      <c r="O95" s="51">
        <f>IF(A95="","",N95*0.25)</f>
        <v/>
      </c>
      <c r="P95" s="51">
        <f>IF(A95="","",N95-O95)</f>
        <v/>
      </c>
      <c r="Q95" s="51">
        <f>IF(A95="","",ROUND(B95*0.4+C95*0.1+D95*0.1+E95*0.1+IF(G95="Yes",5000,0)*0.1+F95*500*0.1+IF(H95="Yes",5000,0)*0.1,0))</f>
        <v/>
      </c>
      <c r="R95" s="48">
        <f>IF(A95="","",ROUND(Q95/1000,1))</f>
        <v/>
      </c>
      <c r="S95" s="48">
        <f>IF(A95="","",RANK(R95,$R$2:$R$500,0))</f>
        <v/>
      </c>
    </row>
    <row r="96" ht="22" customHeight="1">
      <c r="A96" s="46" t="n"/>
      <c r="B96" s="50" t="n"/>
      <c r="C96" s="50" t="n"/>
      <c r="D96" s="50" t="n"/>
      <c r="E96" s="50" t="n"/>
      <c r="F96" s="46" t="n"/>
      <c r="G96" s="46" t="n"/>
      <c r="H96" s="46" t="n"/>
      <c r="I96" s="50" t="n"/>
      <c r="J96" s="50" t="n"/>
      <c r="K96" s="50">
        <f>IF(A96="","",B96+C96)</f>
        <v/>
      </c>
      <c r="L96" s="50">
        <f>IF(A96="","",K96/12)</f>
        <v/>
      </c>
      <c r="M96" s="50">
        <f>IF(A96="","",K96/2080)</f>
        <v/>
      </c>
      <c r="N96" s="50">
        <f>IF(A96="","",B96+C96+D96+E96+I96+J96)</f>
        <v/>
      </c>
      <c r="O96" s="50">
        <f>IF(A96="","",N96*0.25)</f>
        <v/>
      </c>
      <c r="P96" s="50">
        <f>IF(A96="","",N96-O96)</f>
        <v/>
      </c>
      <c r="Q96" s="50">
        <f>IF(A96="","",ROUND(B96*0.4+C96*0.1+D96*0.1+E96*0.1+IF(G96="Yes",5000,0)*0.1+F96*500*0.1+IF(H96="Yes",5000,0)*0.1,0))</f>
        <v/>
      </c>
      <c r="R96" s="46">
        <f>IF(A96="","",ROUND(Q96/1000,1))</f>
        <v/>
      </c>
      <c r="S96" s="46">
        <f>IF(A96="","",RANK(R96,$R$2:$R$500,0))</f>
        <v/>
      </c>
    </row>
    <row r="97" ht="22" customHeight="1">
      <c r="A97" s="48" t="n"/>
      <c r="B97" s="51" t="n"/>
      <c r="C97" s="51" t="n"/>
      <c r="D97" s="51" t="n"/>
      <c r="E97" s="51" t="n"/>
      <c r="F97" s="48" t="n"/>
      <c r="G97" s="48" t="n"/>
      <c r="H97" s="48" t="n"/>
      <c r="I97" s="51" t="n"/>
      <c r="J97" s="51" t="n"/>
      <c r="K97" s="51">
        <f>IF(A97="","",B97+C97)</f>
        <v/>
      </c>
      <c r="L97" s="51">
        <f>IF(A97="","",K97/12)</f>
        <v/>
      </c>
      <c r="M97" s="51">
        <f>IF(A97="","",K97/2080)</f>
        <v/>
      </c>
      <c r="N97" s="51">
        <f>IF(A97="","",B97+C97+D97+E97+I97+J97)</f>
        <v/>
      </c>
      <c r="O97" s="51">
        <f>IF(A97="","",N97*0.25)</f>
        <v/>
      </c>
      <c r="P97" s="51">
        <f>IF(A97="","",N97-O97)</f>
        <v/>
      </c>
      <c r="Q97" s="51">
        <f>IF(A97="","",ROUND(B97*0.4+C97*0.1+D97*0.1+E97*0.1+IF(G97="Yes",5000,0)*0.1+F97*500*0.1+IF(H97="Yes",5000,0)*0.1,0))</f>
        <v/>
      </c>
      <c r="R97" s="48">
        <f>IF(A97="","",ROUND(Q97/1000,1))</f>
        <v/>
      </c>
      <c r="S97" s="48">
        <f>IF(A97="","",RANK(R97,$R$2:$R$500,0))</f>
        <v/>
      </c>
    </row>
    <row r="98" ht="22" customHeight="1">
      <c r="A98" s="46" t="n"/>
      <c r="B98" s="50" t="n"/>
      <c r="C98" s="50" t="n"/>
      <c r="D98" s="50" t="n"/>
      <c r="E98" s="50" t="n"/>
      <c r="F98" s="46" t="n"/>
      <c r="G98" s="46" t="n"/>
      <c r="H98" s="46" t="n"/>
      <c r="I98" s="50" t="n"/>
      <c r="J98" s="50" t="n"/>
      <c r="K98" s="50">
        <f>IF(A98="","",B98+C98)</f>
        <v/>
      </c>
      <c r="L98" s="50">
        <f>IF(A98="","",K98/12)</f>
        <v/>
      </c>
      <c r="M98" s="50">
        <f>IF(A98="","",K98/2080)</f>
        <v/>
      </c>
      <c r="N98" s="50">
        <f>IF(A98="","",B98+C98+D98+E98+I98+J98)</f>
        <v/>
      </c>
      <c r="O98" s="50">
        <f>IF(A98="","",N98*0.25)</f>
        <v/>
      </c>
      <c r="P98" s="50">
        <f>IF(A98="","",N98-O98)</f>
        <v/>
      </c>
      <c r="Q98" s="50">
        <f>IF(A98="","",ROUND(B98*0.4+C98*0.1+D98*0.1+E98*0.1+IF(G98="Yes",5000,0)*0.1+F98*500*0.1+IF(H98="Yes",5000,0)*0.1,0))</f>
        <v/>
      </c>
      <c r="R98" s="46">
        <f>IF(A98="","",ROUND(Q98/1000,1))</f>
        <v/>
      </c>
      <c r="S98" s="46">
        <f>IF(A98="","",RANK(R98,$R$2:$R$500,0))</f>
        <v/>
      </c>
    </row>
    <row r="99" ht="22" customHeight="1">
      <c r="A99" s="48" t="n"/>
      <c r="B99" s="51" t="n"/>
      <c r="C99" s="51" t="n"/>
      <c r="D99" s="51" t="n"/>
      <c r="E99" s="51" t="n"/>
      <c r="F99" s="48" t="n"/>
      <c r="G99" s="48" t="n"/>
      <c r="H99" s="48" t="n"/>
      <c r="I99" s="51" t="n"/>
      <c r="J99" s="51" t="n"/>
      <c r="K99" s="51">
        <f>IF(A99="","",B99+C99)</f>
        <v/>
      </c>
      <c r="L99" s="51">
        <f>IF(A99="","",K99/12)</f>
        <v/>
      </c>
      <c r="M99" s="51">
        <f>IF(A99="","",K99/2080)</f>
        <v/>
      </c>
      <c r="N99" s="51">
        <f>IF(A99="","",B99+C99+D99+E99+I99+J99)</f>
        <v/>
      </c>
      <c r="O99" s="51">
        <f>IF(A99="","",N99*0.25)</f>
        <v/>
      </c>
      <c r="P99" s="51">
        <f>IF(A99="","",N99-O99)</f>
        <v/>
      </c>
      <c r="Q99" s="51">
        <f>IF(A99="","",ROUND(B99*0.4+C99*0.1+D99*0.1+E99*0.1+IF(G99="Yes",5000,0)*0.1+F99*500*0.1+IF(H99="Yes",5000,0)*0.1,0))</f>
        <v/>
      </c>
      <c r="R99" s="48">
        <f>IF(A99="","",ROUND(Q99/1000,1))</f>
        <v/>
      </c>
      <c r="S99" s="48">
        <f>IF(A99="","",RANK(R99,$R$2:$R$500,0))</f>
        <v/>
      </c>
    </row>
    <row r="100" ht="22" customHeight="1">
      <c r="A100" s="46" t="n"/>
      <c r="B100" s="50" t="n"/>
      <c r="C100" s="50" t="n"/>
      <c r="D100" s="50" t="n"/>
      <c r="E100" s="50" t="n"/>
      <c r="F100" s="46" t="n"/>
      <c r="G100" s="46" t="n"/>
      <c r="H100" s="46" t="n"/>
      <c r="I100" s="50" t="n"/>
      <c r="J100" s="50" t="n"/>
      <c r="K100" s="50">
        <f>IF(A100="","",B100+C100)</f>
        <v/>
      </c>
      <c r="L100" s="50">
        <f>IF(A100="","",K100/12)</f>
        <v/>
      </c>
      <c r="M100" s="50">
        <f>IF(A100="","",K100/2080)</f>
        <v/>
      </c>
      <c r="N100" s="50">
        <f>IF(A100="","",B100+C100+D100+E100+I100+J100)</f>
        <v/>
      </c>
      <c r="O100" s="50">
        <f>IF(A100="","",N100*0.25)</f>
        <v/>
      </c>
      <c r="P100" s="50">
        <f>IF(A100="","",N100-O100)</f>
        <v/>
      </c>
      <c r="Q100" s="50">
        <f>IF(A100="","",ROUND(B100*0.4+C100*0.1+D100*0.1+E100*0.1+IF(G100="Yes",5000,0)*0.1+F100*500*0.1+IF(H100="Yes",5000,0)*0.1,0))</f>
        <v/>
      </c>
      <c r="R100" s="46">
        <f>IF(A100="","",ROUND(Q100/1000,1))</f>
        <v/>
      </c>
      <c r="S100" s="46">
        <f>IF(A100="","",RANK(R100,$R$2:$R$500,0))</f>
        <v/>
      </c>
    </row>
    <row r="101" ht="22" customHeight="1">
      <c r="A101" s="48" t="n"/>
      <c r="B101" s="51" t="n"/>
      <c r="C101" s="51" t="n"/>
      <c r="D101" s="51" t="n"/>
      <c r="E101" s="51" t="n"/>
      <c r="F101" s="48" t="n"/>
      <c r="G101" s="48" t="n"/>
      <c r="H101" s="48" t="n"/>
      <c r="I101" s="51" t="n"/>
      <c r="J101" s="51" t="n"/>
      <c r="K101" s="51">
        <f>IF(A101="","",B101+C101)</f>
        <v/>
      </c>
      <c r="L101" s="51">
        <f>IF(A101="","",K101/12)</f>
        <v/>
      </c>
      <c r="M101" s="51">
        <f>IF(A101="","",K101/2080)</f>
        <v/>
      </c>
      <c r="N101" s="51">
        <f>IF(A101="","",B101+C101+D101+E101+I101+J101)</f>
        <v/>
      </c>
      <c r="O101" s="51">
        <f>IF(A101="","",N101*0.25)</f>
        <v/>
      </c>
      <c r="P101" s="51">
        <f>IF(A101="","",N101-O101)</f>
        <v/>
      </c>
      <c r="Q101" s="51">
        <f>IF(A101="","",ROUND(B101*0.4+C101*0.1+D101*0.1+E101*0.1+IF(G101="Yes",5000,0)*0.1+F101*500*0.1+IF(H101="Yes",5000,0)*0.1,0))</f>
        <v/>
      </c>
      <c r="R101" s="48">
        <f>IF(A101="","",ROUND(Q101/1000,1))</f>
        <v/>
      </c>
      <c r="S101" s="48">
        <f>IF(A101="","",RANK(R101,$R$2:$R$500,0))</f>
        <v/>
      </c>
    </row>
    <row r="102" ht="22" customHeight="1">
      <c r="A102" s="46" t="n"/>
      <c r="B102" s="50" t="n"/>
      <c r="C102" s="50" t="n"/>
      <c r="D102" s="50" t="n"/>
      <c r="E102" s="50" t="n"/>
      <c r="F102" s="46" t="n"/>
      <c r="G102" s="46" t="n"/>
      <c r="H102" s="46" t="n"/>
      <c r="I102" s="50" t="n"/>
      <c r="J102" s="50" t="n"/>
      <c r="K102" s="50">
        <f>IF(A102="","",B102+C102)</f>
        <v/>
      </c>
      <c r="L102" s="50">
        <f>IF(A102="","",K102/12)</f>
        <v/>
      </c>
      <c r="M102" s="50">
        <f>IF(A102="","",K102/2080)</f>
        <v/>
      </c>
      <c r="N102" s="50">
        <f>IF(A102="","",B102+C102+D102+E102+I102+J102)</f>
        <v/>
      </c>
      <c r="O102" s="50">
        <f>IF(A102="","",N102*0.25)</f>
        <v/>
      </c>
      <c r="P102" s="50">
        <f>IF(A102="","",N102-O102)</f>
        <v/>
      </c>
      <c r="Q102" s="50">
        <f>IF(A102="","",ROUND(B102*0.4+C102*0.1+D102*0.1+E102*0.1+IF(G102="Yes",5000,0)*0.1+F102*500*0.1+IF(H102="Yes",5000,0)*0.1,0))</f>
        <v/>
      </c>
      <c r="R102" s="46">
        <f>IF(A102="","",ROUND(Q102/1000,1))</f>
        <v/>
      </c>
      <c r="S102" s="46">
        <f>IF(A102="","",RANK(R102,$R$2:$R$500,0))</f>
        <v/>
      </c>
    </row>
    <row r="103" ht="22" customHeight="1">
      <c r="A103" s="48" t="n"/>
      <c r="B103" s="51" t="n"/>
      <c r="C103" s="51" t="n"/>
      <c r="D103" s="51" t="n"/>
      <c r="E103" s="51" t="n"/>
      <c r="F103" s="48" t="n"/>
      <c r="G103" s="48" t="n"/>
      <c r="H103" s="48" t="n"/>
      <c r="I103" s="51" t="n"/>
      <c r="J103" s="51" t="n"/>
      <c r="K103" s="51">
        <f>IF(A103="","",B103+C103)</f>
        <v/>
      </c>
      <c r="L103" s="51">
        <f>IF(A103="","",K103/12)</f>
        <v/>
      </c>
      <c r="M103" s="51">
        <f>IF(A103="","",K103/2080)</f>
        <v/>
      </c>
      <c r="N103" s="51">
        <f>IF(A103="","",B103+C103+D103+E103+I103+J103)</f>
        <v/>
      </c>
      <c r="O103" s="51">
        <f>IF(A103="","",N103*0.25)</f>
        <v/>
      </c>
      <c r="P103" s="51">
        <f>IF(A103="","",N103-O103)</f>
        <v/>
      </c>
      <c r="Q103" s="51">
        <f>IF(A103="","",ROUND(B103*0.4+C103*0.1+D103*0.1+E103*0.1+IF(G103="Yes",5000,0)*0.1+F103*500*0.1+IF(H103="Yes",5000,0)*0.1,0))</f>
        <v/>
      </c>
      <c r="R103" s="48">
        <f>IF(A103="","",ROUND(Q103/1000,1))</f>
        <v/>
      </c>
      <c r="S103" s="48">
        <f>IF(A103="","",RANK(R103,$R$2:$R$500,0))</f>
        <v/>
      </c>
    </row>
    <row r="104" ht="22" customHeight="1">
      <c r="A104" s="46" t="n"/>
      <c r="B104" s="50" t="n"/>
      <c r="C104" s="50" t="n"/>
      <c r="D104" s="50" t="n"/>
      <c r="E104" s="50" t="n"/>
      <c r="F104" s="46" t="n"/>
      <c r="G104" s="46" t="n"/>
      <c r="H104" s="46" t="n"/>
      <c r="I104" s="50" t="n"/>
      <c r="J104" s="50" t="n"/>
      <c r="K104" s="50">
        <f>IF(A104="","",B104+C104)</f>
        <v/>
      </c>
      <c r="L104" s="50">
        <f>IF(A104="","",K104/12)</f>
        <v/>
      </c>
      <c r="M104" s="50">
        <f>IF(A104="","",K104/2080)</f>
        <v/>
      </c>
      <c r="N104" s="50">
        <f>IF(A104="","",B104+C104+D104+E104+I104+J104)</f>
        <v/>
      </c>
      <c r="O104" s="50">
        <f>IF(A104="","",N104*0.25)</f>
        <v/>
      </c>
      <c r="P104" s="50">
        <f>IF(A104="","",N104-O104)</f>
        <v/>
      </c>
      <c r="Q104" s="50">
        <f>IF(A104="","",ROUND(B104*0.4+C104*0.1+D104*0.1+E104*0.1+IF(G104="Yes",5000,0)*0.1+F104*500*0.1+IF(H104="Yes",5000,0)*0.1,0))</f>
        <v/>
      </c>
      <c r="R104" s="46">
        <f>IF(A104="","",ROUND(Q104/1000,1))</f>
        <v/>
      </c>
      <c r="S104" s="46">
        <f>IF(A104="","",RANK(R104,$R$2:$R$500,0))</f>
        <v/>
      </c>
    </row>
    <row r="105" ht="22" customHeight="1">
      <c r="A105" s="48" t="n"/>
      <c r="B105" s="51" t="n"/>
      <c r="C105" s="51" t="n"/>
      <c r="D105" s="51" t="n"/>
      <c r="E105" s="51" t="n"/>
      <c r="F105" s="48" t="n"/>
      <c r="G105" s="48" t="n"/>
      <c r="H105" s="48" t="n"/>
      <c r="I105" s="51" t="n"/>
      <c r="J105" s="51" t="n"/>
      <c r="K105" s="51">
        <f>IF(A105="","",B105+C105)</f>
        <v/>
      </c>
      <c r="L105" s="51">
        <f>IF(A105="","",K105/12)</f>
        <v/>
      </c>
      <c r="M105" s="51">
        <f>IF(A105="","",K105/2080)</f>
        <v/>
      </c>
      <c r="N105" s="51">
        <f>IF(A105="","",B105+C105+D105+E105+I105+J105)</f>
        <v/>
      </c>
      <c r="O105" s="51">
        <f>IF(A105="","",N105*0.25)</f>
        <v/>
      </c>
      <c r="P105" s="51">
        <f>IF(A105="","",N105-O105)</f>
        <v/>
      </c>
      <c r="Q105" s="51">
        <f>IF(A105="","",ROUND(B105*0.4+C105*0.1+D105*0.1+E105*0.1+IF(G105="Yes",5000,0)*0.1+F105*500*0.1+IF(H105="Yes",5000,0)*0.1,0))</f>
        <v/>
      </c>
      <c r="R105" s="48">
        <f>IF(A105="","",ROUND(Q105/1000,1))</f>
        <v/>
      </c>
      <c r="S105" s="48">
        <f>IF(A105="","",RANK(R105,$R$2:$R$500,0))</f>
        <v/>
      </c>
    </row>
    <row r="106" ht="22" customHeight="1">
      <c r="A106" s="46" t="n"/>
      <c r="B106" s="50" t="n"/>
      <c r="C106" s="50" t="n"/>
      <c r="D106" s="50" t="n"/>
      <c r="E106" s="50" t="n"/>
      <c r="F106" s="46" t="n"/>
      <c r="G106" s="46" t="n"/>
      <c r="H106" s="46" t="n"/>
      <c r="I106" s="50" t="n"/>
      <c r="J106" s="50" t="n"/>
      <c r="K106" s="50">
        <f>IF(A106="","",B106+C106)</f>
        <v/>
      </c>
      <c r="L106" s="50">
        <f>IF(A106="","",K106/12)</f>
        <v/>
      </c>
      <c r="M106" s="50">
        <f>IF(A106="","",K106/2080)</f>
        <v/>
      </c>
      <c r="N106" s="50">
        <f>IF(A106="","",B106+C106+D106+E106+I106+J106)</f>
        <v/>
      </c>
      <c r="O106" s="50">
        <f>IF(A106="","",N106*0.25)</f>
        <v/>
      </c>
      <c r="P106" s="50">
        <f>IF(A106="","",N106-O106)</f>
        <v/>
      </c>
      <c r="Q106" s="50">
        <f>IF(A106="","",ROUND(B106*0.4+C106*0.1+D106*0.1+E106*0.1+IF(G106="Yes",5000,0)*0.1+F106*500*0.1+IF(H106="Yes",5000,0)*0.1,0))</f>
        <v/>
      </c>
      <c r="R106" s="46">
        <f>IF(A106="","",ROUND(Q106/1000,1))</f>
        <v/>
      </c>
      <c r="S106" s="46">
        <f>IF(A106="","",RANK(R106,$R$2:$R$500,0))</f>
        <v/>
      </c>
    </row>
    <row r="107" ht="22" customHeight="1">
      <c r="A107" s="48" t="n"/>
      <c r="B107" s="51" t="n"/>
      <c r="C107" s="51" t="n"/>
      <c r="D107" s="51" t="n"/>
      <c r="E107" s="51" t="n"/>
      <c r="F107" s="48" t="n"/>
      <c r="G107" s="48" t="n"/>
      <c r="H107" s="48" t="n"/>
      <c r="I107" s="51" t="n"/>
      <c r="J107" s="51" t="n"/>
      <c r="K107" s="51">
        <f>IF(A107="","",B107+C107)</f>
        <v/>
      </c>
      <c r="L107" s="51">
        <f>IF(A107="","",K107/12)</f>
        <v/>
      </c>
      <c r="M107" s="51">
        <f>IF(A107="","",K107/2080)</f>
        <v/>
      </c>
      <c r="N107" s="51">
        <f>IF(A107="","",B107+C107+D107+E107+I107+J107)</f>
        <v/>
      </c>
      <c r="O107" s="51">
        <f>IF(A107="","",N107*0.25)</f>
        <v/>
      </c>
      <c r="P107" s="51">
        <f>IF(A107="","",N107-O107)</f>
        <v/>
      </c>
      <c r="Q107" s="51">
        <f>IF(A107="","",ROUND(B107*0.4+C107*0.1+D107*0.1+E107*0.1+IF(G107="Yes",5000,0)*0.1+F107*500*0.1+IF(H107="Yes",5000,0)*0.1,0))</f>
        <v/>
      </c>
      <c r="R107" s="48">
        <f>IF(A107="","",ROUND(Q107/1000,1))</f>
        <v/>
      </c>
      <c r="S107" s="48">
        <f>IF(A107="","",RANK(R107,$R$2:$R$500,0))</f>
        <v/>
      </c>
    </row>
    <row r="108" ht="22" customHeight="1">
      <c r="A108" s="46" t="n"/>
      <c r="B108" s="50" t="n"/>
      <c r="C108" s="50" t="n"/>
      <c r="D108" s="50" t="n"/>
      <c r="E108" s="50" t="n"/>
      <c r="F108" s="46" t="n"/>
      <c r="G108" s="46" t="n"/>
      <c r="H108" s="46" t="n"/>
      <c r="I108" s="50" t="n"/>
      <c r="J108" s="50" t="n"/>
      <c r="K108" s="50">
        <f>IF(A108="","",B108+C108)</f>
        <v/>
      </c>
      <c r="L108" s="50">
        <f>IF(A108="","",K108/12)</f>
        <v/>
      </c>
      <c r="M108" s="50">
        <f>IF(A108="","",K108/2080)</f>
        <v/>
      </c>
      <c r="N108" s="50">
        <f>IF(A108="","",B108+C108+D108+E108+I108+J108)</f>
        <v/>
      </c>
      <c r="O108" s="50">
        <f>IF(A108="","",N108*0.25)</f>
        <v/>
      </c>
      <c r="P108" s="50">
        <f>IF(A108="","",N108-O108)</f>
        <v/>
      </c>
      <c r="Q108" s="50">
        <f>IF(A108="","",ROUND(B108*0.4+C108*0.1+D108*0.1+E108*0.1+IF(G108="Yes",5000,0)*0.1+F108*500*0.1+IF(H108="Yes",5000,0)*0.1,0))</f>
        <v/>
      </c>
      <c r="R108" s="46">
        <f>IF(A108="","",ROUND(Q108/1000,1))</f>
        <v/>
      </c>
      <c r="S108" s="46">
        <f>IF(A108="","",RANK(R108,$R$2:$R$500,0))</f>
        <v/>
      </c>
    </row>
    <row r="109" ht="22" customHeight="1">
      <c r="A109" s="48" t="n"/>
      <c r="B109" s="51" t="n"/>
      <c r="C109" s="51" t="n"/>
      <c r="D109" s="51" t="n"/>
      <c r="E109" s="51" t="n"/>
      <c r="F109" s="48" t="n"/>
      <c r="G109" s="48" t="n"/>
      <c r="H109" s="48" t="n"/>
      <c r="I109" s="51" t="n"/>
      <c r="J109" s="51" t="n"/>
      <c r="K109" s="51">
        <f>IF(A109="","",B109+C109)</f>
        <v/>
      </c>
      <c r="L109" s="51">
        <f>IF(A109="","",K109/12)</f>
        <v/>
      </c>
      <c r="M109" s="51">
        <f>IF(A109="","",K109/2080)</f>
        <v/>
      </c>
      <c r="N109" s="51">
        <f>IF(A109="","",B109+C109+D109+E109+I109+J109)</f>
        <v/>
      </c>
      <c r="O109" s="51">
        <f>IF(A109="","",N109*0.25)</f>
        <v/>
      </c>
      <c r="P109" s="51">
        <f>IF(A109="","",N109-O109)</f>
        <v/>
      </c>
      <c r="Q109" s="51">
        <f>IF(A109="","",ROUND(B109*0.4+C109*0.1+D109*0.1+E109*0.1+IF(G109="Yes",5000,0)*0.1+F109*500*0.1+IF(H109="Yes",5000,0)*0.1,0))</f>
        <v/>
      </c>
      <c r="R109" s="48">
        <f>IF(A109="","",ROUND(Q109/1000,1))</f>
        <v/>
      </c>
      <c r="S109" s="48">
        <f>IF(A109="","",RANK(R109,$R$2:$R$500,0))</f>
        <v/>
      </c>
    </row>
    <row r="110" ht="22" customHeight="1">
      <c r="A110" s="46" t="n"/>
      <c r="B110" s="50" t="n"/>
      <c r="C110" s="50" t="n"/>
      <c r="D110" s="50" t="n"/>
      <c r="E110" s="50" t="n"/>
      <c r="F110" s="46" t="n"/>
      <c r="G110" s="46" t="n"/>
      <c r="H110" s="46" t="n"/>
      <c r="I110" s="50" t="n"/>
      <c r="J110" s="50" t="n"/>
      <c r="K110" s="50">
        <f>IF(A110="","",B110+C110)</f>
        <v/>
      </c>
      <c r="L110" s="50">
        <f>IF(A110="","",K110/12)</f>
        <v/>
      </c>
      <c r="M110" s="50">
        <f>IF(A110="","",K110/2080)</f>
        <v/>
      </c>
      <c r="N110" s="50">
        <f>IF(A110="","",B110+C110+D110+E110+I110+J110)</f>
        <v/>
      </c>
      <c r="O110" s="50">
        <f>IF(A110="","",N110*0.25)</f>
        <v/>
      </c>
      <c r="P110" s="50">
        <f>IF(A110="","",N110-O110)</f>
        <v/>
      </c>
      <c r="Q110" s="50">
        <f>IF(A110="","",ROUND(B110*0.4+C110*0.1+D110*0.1+E110*0.1+IF(G110="Yes",5000,0)*0.1+F110*500*0.1+IF(H110="Yes",5000,0)*0.1,0))</f>
        <v/>
      </c>
      <c r="R110" s="46">
        <f>IF(A110="","",ROUND(Q110/1000,1))</f>
        <v/>
      </c>
      <c r="S110" s="46">
        <f>IF(A110="","",RANK(R110,$R$2:$R$500,0))</f>
        <v/>
      </c>
    </row>
    <row r="111" ht="22" customHeight="1">
      <c r="A111" s="48" t="n"/>
      <c r="B111" s="51" t="n"/>
      <c r="C111" s="51" t="n"/>
      <c r="D111" s="51" t="n"/>
      <c r="E111" s="51" t="n"/>
      <c r="F111" s="48" t="n"/>
      <c r="G111" s="48" t="n"/>
      <c r="H111" s="48" t="n"/>
      <c r="I111" s="51" t="n"/>
      <c r="J111" s="51" t="n"/>
      <c r="K111" s="51">
        <f>IF(A111="","",B111+C111)</f>
        <v/>
      </c>
      <c r="L111" s="51">
        <f>IF(A111="","",K111/12)</f>
        <v/>
      </c>
      <c r="M111" s="51">
        <f>IF(A111="","",K111/2080)</f>
        <v/>
      </c>
      <c r="N111" s="51">
        <f>IF(A111="","",B111+C111+D111+E111+I111+J111)</f>
        <v/>
      </c>
      <c r="O111" s="51">
        <f>IF(A111="","",N111*0.25)</f>
        <v/>
      </c>
      <c r="P111" s="51">
        <f>IF(A111="","",N111-O111)</f>
        <v/>
      </c>
      <c r="Q111" s="51">
        <f>IF(A111="","",ROUND(B111*0.4+C111*0.1+D111*0.1+E111*0.1+IF(G111="Yes",5000,0)*0.1+F111*500*0.1+IF(H111="Yes",5000,0)*0.1,0))</f>
        <v/>
      </c>
      <c r="R111" s="48">
        <f>IF(A111="","",ROUND(Q111/1000,1))</f>
        <v/>
      </c>
      <c r="S111" s="48">
        <f>IF(A111="","",RANK(R111,$R$2:$R$500,0))</f>
        <v/>
      </c>
    </row>
    <row r="112" ht="22" customHeight="1">
      <c r="A112" s="46" t="n"/>
      <c r="B112" s="50" t="n"/>
      <c r="C112" s="50" t="n"/>
      <c r="D112" s="50" t="n"/>
      <c r="E112" s="50" t="n"/>
      <c r="F112" s="46" t="n"/>
      <c r="G112" s="46" t="n"/>
      <c r="H112" s="46" t="n"/>
      <c r="I112" s="50" t="n"/>
      <c r="J112" s="50" t="n"/>
      <c r="K112" s="50">
        <f>IF(A112="","",B112+C112)</f>
        <v/>
      </c>
      <c r="L112" s="50">
        <f>IF(A112="","",K112/12)</f>
        <v/>
      </c>
      <c r="M112" s="50">
        <f>IF(A112="","",K112/2080)</f>
        <v/>
      </c>
      <c r="N112" s="50">
        <f>IF(A112="","",B112+C112+D112+E112+I112+J112)</f>
        <v/>
      </c>
      <c r="O112" s="50">
        <f>IF(A112="","",N112*0.25)</f>
        <v/>
      </c>
      <c r="P112" s="50">
        <f>IF(A112="","",N112-O112)</f>
        <v/>
      </c>
      <c r="Q112" s="50">
        <f>IF(A112="","",ROUND(B112*0.4+C112*0.1+D112*0.1+E112*0.1+IF(G112="Yes",5000,0)*0.1+F112*500*0.1+IF(H112="Yes",5000,0)*0.1,0))</f>
        <v/>
      </c>
      <c r="R112" s="46">
        <f>IF(A112="","",ROUND(Q112/1000,1))</f>
        <v/>
      </c>
      <c r="S112" s="46">
        <f>IF(A112="","",RANK(R112,$R$2:$R$500,0))</f>
        <v/>
      </c>
    </row>
    <row r="113" ht="22" customHeight="1">
      <c r="A113" s="48" t="n"/>
      <c r="B113" s="51" t="n"/>
      <c r="C113" s="51" t="n"/>
      <c r="D113" s="51" t="n"/>
      <c r="E113" s="51" t="n"/>
      <c r="F113" s="48" t="n"/>
      <c r="G113" s="48" t="n"/>
      <c r="H113" s="48" t="n"/>
      <c r="I113" s="51" t="n"/>
      <c r="J113" s="51" t="n"/>
      <c r="K113" s="51">
        <f>IF(A113="","",B113+C113)</f>
        <v/>
      </c>
      <c r="L113" s="51">
        <f>IF(A113="","",K113/12)</f>
        <v/>
      </c>
      <c r="M113" s="51">
        <f>IF(A113="","",K113/2080)</f>
        <v/>
      </c>
      <c r="N113" s="51">
        <f>IF(A113="","",B113+C113+D113+E113+I113+J113)</f>
        <v/>
      </c>
      <c r="O113" s="51">
        <f>IF(A113="","",N113*0.25)</f>
        <v/>
      </c>
      <c r="P113" s="51">
        <f>IF(A113="","",N113-O113)</f>
        <v/>
      </c>
      <c r="Q113" s="51">
        <f>IF(A113="","",ROUND(B113*0.4+C113*0.1+D113*0.1+E113*0.1+IF(G113="Yes",5000,0)*0.1+F113*500*0.1+IF(H113="Yes",5000,0)*0.1,0))</f>
        <v/>
      </c>
      <c r="R113" s="48">
        <f>IF(A113="","",ROUND(Q113/1000,1))</f>
        <v/>
      </c>
      <c r="S113" s="48">
        <f>IF(A113="","",RANK(R113,$R$2:$R$500,0))</f>
        <v/>
      </c>
    </row>
    <row r="114" ht="22" customHeight="1">
      <c r="A114" s="46" t="n"/>
      <c r="B114" s="50" t="n"/>
      <c r="C114" s="50" t="n"/>
      <c r="D114" s="50" t="n"/>
      <c r="E114" s="50" t="n"/>
      <c r="F114" s="46" t="n"/>
      <c r="G114" s="46" t="n"/>
      <c r="H114" s="46" t="n"/>
      <c r="I114" s="50" t="n"/>
      <c r="J114" s="50" t="n"/>
      <c r="K114" s="50">
        <f>IF(A114="","",B114+C114)</f>
        <v/>
      </c>
      <c r="L114" s="50">
        <f>IF(A114="","",K114/12)</f>
        <v/>
      </c>
      <c r="M114" s="50">
        <f>IF(A114="","",K114/2080)</f>
        <v/>
      </c>
      <c r="N114" s="50">
        <f>IF(A114="","",B114+C114+D114+E114+I114+J114)</f>
        <v/>
      </c>
      <c r="O114" s="50">
        <f>IF(A114="","",N114*0.25)</f>
        <v/>
      </c>
      <c r="P114" s="50">
        <f>IF(A114="","",N114-O114)</f>
        <v/>
      </c>
      <c r="Q114" s="50">
        <f>IF(A114="","",ROUND(B114*0.4+C114*0.1+D114*0.1+E114*0.1+IF(G114="Yes",5000,0)*0.1+F114*500*0.1+IF(H114="Yes",5000,0)*0.1,0))</f>
        <v/>
      </c>
      <c r="R114" s="46">
        <f>IF(A114="","",ROUND(Q114/1000,1))</f>
        <v/>
      </c>
      <c r="S114" s="46">
        <f>IF(A114="","",RANK(R114,$R$2:$R$500,0))</f>
        <v/>
      </c>
    </row>
    <row r="115" ht="22" customHeight="1">
      <c r="A115" s="48" t="n"/>
      <c r="B115" s="51" t="n"/>
      <c r="C115" s="51" t="n"/>
      <c r="D115" s="51" t="n"/>
      <c r="E115" s="51" t="n"/>
      <c r="F115" s="48" t="n"/>
      <c r="G115" s="48" t="n"/>
      <c r="H115" s="48" t="n"/>
      <c r="I115" s="51" t="n"/>
      <c r="J115" s="51" t="n"/>
      <c r="K115" s="51">
        <f>IF(A115="","",B115+C115)</f>
        <v/>
      </c>
      <c r="L115" s="51">
        <f>IF(A115="","",K115/12)</f>
        <v/>
      </c>
      <c r="M115" s="51">
        <f>IF(A115="","",K115/2080)</f>
        <v/>
      </c>
      <c r="N115" s="51">
        <f>IF(A115="","",B115+C115+D115+E115+I115+J115)</f>
        <v/>
      </c>
      <c r="O115" s="51">
        <f>IF(A115="","",N115*0.25)</f>
        <v/>
      </c>
      <c r="P115" s="51">
        <f>IF(A115="","",N115-O115)</f>
        <v/>
      </c>
      <c r="Q115" s="51">
        <f>IF(A115="","",ROUND(B115*0.4+C115*0.1+D115*0.1+E115*0.1+IF(G115="Yes",5000,0)*0.1+F115*500*0.1+IF(H115="Yes",5000,0)*0.1,0))</f>
        <v/>
      </c>
      <c r="R115" s="48">
        <f>IF(A115="","",ROUND(Q115/1000,1))</f>
        <v/>
      </c>
      <c r="S115" s="48">
        <f>IF(A115="","",RANK(R115,$R$2:$R$500,0))</f>
        <v/>
      </c>
    </row>
    <row r="116" ht="22" customHeight="1">
      <c r="A116" s="46" t="n"/>
      <c r="B116" s="50" t="n"/>
      <c r="C116" s="50" t="n"/>
      <c r="D116" s="50" t="n"/>
      <c r="E116" s="50" t="n"/>
      <c r="F116" s="46" t="n"/>
      <c r="G116" s="46" t="n"/>
      <c r="H116" s="46" t="n"/>
      <c r="I116" s="50" t="n"/>
      <c r="J116" s="50" t="n"/>
      <c r="K116" s="50">
        <f>IF(A116="","",B116+C116)</f>
        <v/>
      </c>
      <c r="L116" s="50">
        <f>IF(A116="","",K116/12)</f>
        <v/>
      </c>
      <c r="M116" s="50">
        <f>IF(A116="","",K116/2080)</f>
        <v/>
      </c>
      <c r="N116" s="50">
        <f>IF(A116="","",B116+C116+D116+E116+I116+J116)</f>
        <v/>
      </c>
      <c r="O116" s="50">
        <f>IF(A116="","",N116*0.25)</f>
        <v/>
      </c>
      <c r="P116" s="50">
        <f>IF(A116="","",N116-O116)</f>
        <v/>
      </c>
      <c r="Q116" s="50">
        <f>IF(A116="","",ROUND(B116*0.4+C116*0.1+D116*0.1+E116*0.1+IF(G116="Yes",5000,0)*0.1+F116*500*0.1+IF(H116="Yes",5000,0)*0.1,0))</f>
        <v/>
      </c>
      <c r="R116" s="46">
        <f>IF(A116="","",ROUND(Q116/1000,1))</f>
        <v/>
      </c>
      <c r="S116" s="46">
        <f>IF(A116="","",RANK(R116,$R$2:$R$500,0))</f>
        <v/>
      </c>
    </row>
    <row r="117" ht="22" customHeight="1">
      <c r="A117" s="48" t="n"/>
      <c r="B117" s="51" t="n"/>
      <c r="C117" s="51" t="n"/>
      <c r="D117" s="51" t="n"/>
      <c r="E117" s="51" t="n"/>
      <c r="F117" s="48" t="n"/>
      <c r="G117" s="48" t="n"/>
      <c r="H117" s="48" t="n"/>
      <c r="I117" s="51" t="n"/>
      <c r="J117" s="51" t="n"/>
      <c r="K117" s="51">
        <f>IF(A117="","",B117+C117)</f>
        <v/>
      </c>
      <c r="L117" s="51">
        <f>IF(A117="","",K117/12)</f>
        <v/>
      </c>
      <c r="M117" s="51">
        <f>IF(A117="","",K117/2080)</f>
        <v/>
      </c>
      <c r="N117" s="51">
        <f>IF(A117="","",B117+C117+D117+E117+I117+J117)</f>
        <v/>
      </c>
      <c r="O117" s="51">
        <f>IF(A117="","",N117*0.25)</f>
        <v/>
      </c>
      <c r="P117" s="51">
        <f>IF(A117="","",N117-O117)</f>
        <v/>
      </c>
      <c r="Q117" s="51">
        <f>IF(A117="","",ROUND(B117*0.4+C117*0.1+D117*0.1+E117*0.1+IF(G117="Yes",5000,0)*0.1+F117*500*0.1+IF(H117="Yes",5000,0)*0.1,0))</f>
        <v/>
      </c>
      <c r="R117" s="48">
        <f>IF(A117="","",ROUND(Q117/1000,1))</f>
        <v/>
      </c>
      <c r="S117" s="48">
        <f>IF(A117="","",RANK(R117,$R$2:$R$500,0))</f>
        <v/>
      </c>
    </row>
    <row r="118" ht="22" customHeight="1">
      <c r="A118" s="46" t="n"/>
      <c r="B118" s="50" t="n"/>
      <c r="C118" s="50" t="n"/>
      <c r="D118" s="50" t="n"/>
      <c r="E118" s="50" t="n"/>
      <c r="F118" s="46" t="n"/>
      <c r="G118" s="46" t="n"/>
      <c r="H118" s="46" t="n"/>
      <c r="I118" s="50" t="n"/>
      <c r="J118" s="50" t="n"/>
      <c r="K118" s="50">
        <f>IF(A118="","",B118+C118)</f>
        <v/>
      </c>
      <c r="L118" s="50">
        <f>IF(A118="","",K118/12)</f>
        <v/>
      </c>
      <c r="M118" s="50">
        <f>IF(A118="","",K118/2080)</f>
        <v/>
      </c>
      <c r="N118" s="50">
        <f>IF(A118="","",B118+C118+D118+E118+I118+J118)</f>
        <v/>
      </c>
      <c r="O118" s="50">
        <f>IF(A118="","",N118*0.25)</f>
        <v/>
      </c>
      <c r="P118" s="50">
        <f>IF(A118="","",N118-O118)</f>
        <v/>
      </c>
      <c r="Q118" s="50">
        <f>IF(A118="","",ROUND(B118*0.4+C118*0.1+D118*0.1+E118*0.1+IF(G118="Yes",5000,0)*0.1+F118*500*0.1+IF(H118="Yes",5000,0)*0.1,0))</f>
        <v/>
      </c>
      <c r="R118" s="46">
        <f>IF(A118="","",ROUND(Q118/1000,1))</f>
        <v/>
      </c>
      <c r="S118" s="46">
        <f>IF(A118="","",RANK(R118,$R$2:$R$500,0))</f>
        <v/>
      </c>
    </row>
    <row r="119" ht="22" customHeight="1">
      <c r="A119" s="48" t="n"/>
      <c r="B119" s="51" t="n"/>
      <c r="C119" s="51" t="n"/>
      <c r="D119" s="51" t="n"/>
      <c r="E119" s="51" t="n"/>
      <c r="F119" s="48" t="n"/>
      <c r="G119" s="48" t="n"/>
      <c r="H119" s="48" t="n"/>
      <c r="I119" s="51" t="n"/>
      <c r="J119" s="51" t="n"/>
      <c r="K119" s="51">
        <f>IF(A119="","",B119+C119)</f>
        <v/>
      </c>
      <c r="L119" s="51">
        <f>IF(A119="","",K119/12)</f>
        <v/>
      </c>
      <c r="M119" s="51">
        <f>IF(A119="","",K119/2080)</f>
        <v/>
      </c>
      <c r="N119" s="51">
        <f>IF(A119="","",B119+C119+D119+E119+I119+J119)</f>
        <v/>
      </c>
      <c r="O119" s="51">
        <f>IF(A119="","",N119*0.25)</f>
        <v/>
      </c>
      <c r="P119" s="51">
        <f>IF(A119="","",N119-O119)</f>
        <v/>
      </c>
      <c r="Q119" s="51">
        <f>IF(A119="","",ROUND(B119*0.4+C119*0.1+D119*0.1+E119*0.1+IF(G119="Yes",5000,0)*0.1+F119*500*0.1+IF(H119="Yes",5000,0)*0.1,0))</f>
        <v/>
      </c>
      <c r="R119" s="48">
        <f>IF(A119="","",ROUND(Q119/1000,1))</f>
        <v/>
      </c>
      <c r="S119" s="48">
        <f>IF(A119="","",RANK(R119,$R$2:$R$500,0))</f>
        <v/>
      </c>
    </row>
    <row r="120" ht="22" customHeight="1">
      <c r="A120" s="46" t="n"/>
      <c r="B120" s="50" t="n"/>
      <c r="C120" s="50" t="n"/>
      <c r="D120" s="50" t="n"/>
      <c r="E120" s="50" t="n"/>
      <c r="F120" s="46" t="n"/>
      <c r="G120" s="46" t="n"/>
      <c r="H120" s="46" t="n"/>
      <c r="I120" s="50" t="n"/>
      <c r="J120" s="50" t="n"/>
      <c r="K120" s="50">
        <f>IF(A120="","",B120+C120)</f>
        <v/>
      </c>
      <c r="L120" s="50">
        <f>IF(A120="","",K120/12)</f>
        <v/>
      </c>
      <c r="M120" s="50">
        <f>IF(A120="","",K120/2080)</f>
        <v/>
      </c>
      <c r="N120" s="50">
        <f>IF(A120="","",B120+C120+D120+E120+I120+J120)</f>
        <v/>
      </c>
      <c r="O120" s="50">
        <f>IF(A120="","",N120*0.25)</f>
        <v/>
      </c>
      <c r="P120" s="50">
        <f>IF(A120="","",N120-O120)</f>
        <v/>
      </c>
      <c r="Q120" s="50">
        <f>IF(A120="","",ROUND(B120*0.4+C120*0.1+D120*0.1+E120*0.1+IF(G120="Yes",5000,0)*0.1+F120*500*0.1+IF(H120="Yes",5000,0)*0.1,0))</f>
        <v/>
      </c>
      <c r="R120" s="46">
        <f>IF(A120="","",ROUND(Q120/1000,1))</f>
        <v/>
      </c>
      <c r="S120" s="46">
        <f>IF(A120="","",RANK(R120,$R$2:$R$500,0))</f>
        <v/>
      </c>
    </row>
    <row r="121" ht="22" customHeight="1">
      <c r="A121" s="48" t="n"/>
      <c r="B121" s="51" t="n"/>
      <c r="C121" s="51" t="n"/>
      <c r="D121" s="51" t="n"/>
      <c r="E121" s="51" t="n"/>
      <c r="F121" s="48" t="n"/>
      <c r="G121" s="48" t="n"/>
      <c r="H121" s="48" t="n"/>
      <c r="I121" s="51" t="n"/>
      <c r="J121" s="51" t="n"/>
      <c r="K121" s="51">
        <f>IF(A121="","",B121+C121)</f>
        <v/>
      </c>
      <c r="L121" s="51">
        <f>IF(A121="","",K121/12)</f>
        <v/>
      </c>
      <c r="M121" s="51">
        <f>IF(A121="","",K121/2080)</f>
        <v/>
      </c>
      <c r="N121" s="51">
        <f>IF(A121="","",B121+C121+D121+E121+I121+J121)</f>
        <v/>
      </c>
      <c r="O121" s="51">
        <f>IF(A121="","",N121*0.25)</f>
        <v/>
      </c>
      <c r="P121" s="51">
        <f>IF(A121="","",N121-O121)</f>
        <v/>
      </c>
      <c r="Q121" s="51">
        <f>IF(A121="","",ROUND(B121*0.4+C121*0.1+D121*0.1+E121*0.1+IF(G121="Yes",5000,0)*0.1+F121*500*0.1+IF(H121="Yes",5000,0)*0.1,0))</f>
        <v/>
      </c>
      <c r="R121" s="48">
        <f>IF(A121="","",ROUND(Q121/1000,1))</f>
        <v/>
      </c>
      <c r="S121" s="48">
        <f>IF(A121="","",RANK(R121,$R$2:$R$500,0))</f>
        <v/>
      </c>
    </row>
    <row r="122" ht="22" customHeight="1">
      <c r="A122" s="46" t="n"/>
      <c r="B122" s="50" t="n"/>
      <c r="C122" s="50" t="n"/>
      <c r="D122" s="50" t="n"/>
      <c r="E122" s="50" t="n"/>
      <c r="F122" s="46" t="n"/>
      <c r="G122" s="46" t="n"/>
      <c r="H122" s="46" t="n"/>
      <c r="I122" s="50" t="n"/>
      <c r="J122" s="50" t="n"/>
      <c r="K122" s="50">
        <f>IF(A122="","",B122+C122)</f>
        <v/>
      </c>
      <c r="L122" s="50">
        <f>IF(A122="","",K122/12)</f>
        <v/>
      </c>
      <c r="M122" s="50">
        <f>IF(A122="","",K122/2080)</f>
        <v/>
      </c>
      <c r="N122" s="50">
        <f>IF(A122="","",B122+C122+D122+E122+I122+J122)</f>
        <v/>
      </c>
      <c r="O122" s="50">
        <f>IF(A122="","",N122*0.25)</f>
        <v/>
      </c>
      <c r="P122" s="50">
        <f>IF(A122="","",N122-O122)</f>
        <v/>
      </c>
      <c r="Q122" s="50">
        <f>IF(A122="","",ROUND(B122*0.4+C122*0.1+D122*0.1+E122*0.1+IF(G122="Yes",5000,0)*0.1+F122*500*0.1+IF(H122="Yes",5000,0)*0.1,0))</f>
        <v/>
      </c>
      <c r="R122" s="46">
        <f>IF(A122="","",ROUND(Q122/1000,1))</f>
        <v/>
      </c>
      <c r="S122" s="46">
        <f>IF(A122="","",RANK(R122,$R$2:$R$500,0))</f>
        <v/>
      </c>
    </row>
    <row r="123" ht="22" customHeight="1">
      <c r="A123" s="48" t="n"/>
      <c r="B123" s="51" t="n"/>
      <c r="C123" s="51" t="n"/>
      <c r="D123" s="51" t="n"/>
      <c r="E123" s="51" t="n"/>
      <c r="F123" s="48" t="n"/>
      <c r="G123" s="48" t="n"/>
      <c r="H123" s="48" t="n"/>
      <c r="I123" s="51" t="n"/>
      <c r="J123" s="51" t="n"/>
      <c r="K123" s="51">
        <f>IF(A123="","",B123+C123)</f>
        <v/>
      </c>
      <c r="L123" s="51">
        <f>IF(A123="","",K123/12)</f>
        <v/>
      </c>
      <c r="M123" s="51">
        <f>IF(A123="","",K123/2080)</f>
        <v/>
      </c>
      <c r="N123" s="51">
        <f>IF(A123="","",B123+C123+D123+E123+I123+J123)</f>
        <v/>
      </c>
      <c r="O123" s="51">
        <f>IF(A123="","",N123*0.25)</f>
        <v/>
      </c>
      <c r="P123" s="51">
        <f>IF(A123="","",N123-O123)</f>
        <v/>
      </c>
      <c r="Q123" s="51">
        <f>IF(A123="","",ROUND(B123*0.4+C123*0.1+D123*0.1+E123*0.1+IF(G123="Yes",5000,0)*0.1+F123*500*0.1+IF(H123="Yes",5000,0)*0.1,0))</f>
        <v/>
      </c>
      <c r="R123" s="48">
        <f>IF(A123="","",ROUND(Q123/1000,1))</f>
        <v/>
      </c>
      <c r="S123" s="48">
        <f>IF(A123="","",RANK(R123,$R$2:$R$500,0))</f>
        <v/>
      </c>
    </row>
    <row r="124" ht="22" customHeight="1">
      <c r="A124" s="46" t="n"/>
      <c r="B124" s="50" t="n"/>
      <c r="C124" s="50" t="n"/>
      <c r="D124" s="50" t="n"/>
      <c r="E124" s="50" t="n"/>
      <c r="F124" s="46" t="n"/>
      <c r="G124" s="46" t="n"/>
      <c r="H124" s="46" t="n"/>
      <c r="I124" s="50" t="n"/>
      <c r="J124" s="50" t="n"/>
      <c r="K124" s="50">
        <f>IF(A124="","",B124+C124)</f>
        <v/>
      </c>
      <c r="L124" s="50">
        <f>IF(A124="","",K124/12)</f>
        <v/>
      </c>
      <c r="M124" s="50">
        <f>IF(A124="","",K124/2080)</f>
        <v/>
      </c>
      <c r="N124" s="50">
        <f>IF(A124="","",B124+C124+D124+E124+I124+J124)</f>
        <v/>
      </c>
      <c r="O124" s="50">
        <f>IF(A124="","",N124*0.25)</f>
        <v/>
      </c>
      <c r="P124" s="50">
        <f>IF(A124="","",N124-O124)</f>
        <v/>
      </c>
      <c r="Q124" s="50">
        <f>IF(A124="","",ROUND(B124*0.4+C124*0.1+D124*0.1+E124*0.1+IF(G124="Yes",5000,0)*0.1+F124*500*0.1+IF(H124="Yes",5000,0)*0.1,0))</f>
        <v/>
      </c>
      <c r="R124" s="46">
        <f>IF(A124="","",ROUND(Q124/1000,1))</f>
        <v/>
      </c>
      <c r="S124" s="46">
        <f>IF(A124="","",RANK(R124,$R$2:$R$500,0))</f>
        <v/>
      </c>
    </row>
    <row r="125" ht="22" customHeight="1">
      <c r="A125" s="48" t="n"/>
      <c r="B125" s="51" t="n"/>
      <c r="C125" s="51" t="n"/>
      <c r="D125" s="51" t="n"/>
      <c r="E125" s="51" t="n"/>
      <c r="F125" s="48" t="n"/>
      <c r="G125" s="48" t="n"/>
      <c r="H125" s="48" t="n"/>
      <c r="I125" s="51" t="n"/>
      <c r="J125" s="51" t="n"/>
      <c r="K125" s="51">
        <f>IF(A125="","",B125+C125)</f>
        <v/>
      </c>
      <c r="L125" s="51">
        <f>IF(A125="","",K125/12)</f>
        <v/>
      </c>
      <c r="M125" s="51">
        <f>IF(A125="","",K125/2080)</f>
        <v/>
      </c>
      <c r="N125" s="51">
        <f>IF(A125="","",B125+C125+D125+E125+I125+J125)</f>
        <v/>
      </c>
      <c r="O125" s="51">
        <f>IF(A125="","",N125*0.25)</f>
        <v/>
      </c>
      <c r="P125" s="51">
        <f>IF(A125="","",N125-O125)</f>
        <v/>
      </c>
      <c r="Q125" s="51">
        <f>IF(A125="","",ROUND(B125*0.4+C125*0.1+D125*0.1+E125*0.1+IF(G125="Yes",5000,0)*0.1+F125*500*0.1+IF(H125="Yes",5000,0)*0.1,0))</f>
        <v/>
      </c>
      <c r="R125" s="48">
        <f>IF(A125="","",ROUND(Q125/1000,1))</f>
        <v/>
      </c>
      <c r="S125" s="48">
        <f>IF(A125="","",RANK(R125,$R$2:$R$500,0))</f>
        <v/>
      </c>
    </row>
    <row r="126" ht="22" customHeight="1">
      <c r="A126" s="46" t="n"/>
      <c r="B126" s="50" t="n"/>
      <c r="C126" s="50" t="n"/>
      <c r="D126" s="50" t="n"/>
      <c r="E126" s="50" t="n"/>
      <c r="F126" s="46" t="n"/>
      <c r="G126" s="46" t="n"/>
      <c r="H126" s="46" t="n"/>
      <c r="I126" s="50" t="n"/>
      <c r="J126" s="50" t="n"/>
      <c r="K126" s="50">
        <f>IF(A126="","",B126+C126)</f>
        <v/>
      </c>
      <c r="L126" s="50">
        <f>IF(A126="","",K126/12)</f>
        <v/>
      </c>
      <c r="M126" s="50">
        <f>IF(A126="","",K126/2080)</f>
        <v/>
      </c>
      <c r="N126" s="50">
        <f>IF(A126="","",B126+C126+D126+E126+I126+J126)</f>
        <v/>
      </c>
      <c r="O126" s="50">
        <f>IF(A126="","",N126*0.25)</f>
        <v/>
      </c>
      <c r="P126" s="50">
        <f>IF(A126="","",N126-O126)</f>
        <v/>
      </c>
      <c r="Q126" s="50">
        <f>IF(A126="","",ROUND(B126*0.4+C126*0.1+D126*0.1+E126*0.1+IF(G126="Yes",5000,0)*0.1+F126*500*0.1+IF(H126="Yes",5000,0)*0.1,0))</f>
        <v/>
      </c>
      <c r="R126" s="46">
        <f>IF(A126="","",ROUND(Q126/1000,1))</f>
        <v/>
      </c>
      <c r="S126" s="46">
        <f>IF(A126="","",RANK(R126,$R$2:$R$500,0))</f>
        <v/>
      </c>
    </row>
    <row r="127" ht="22" customHeight="1">
      <c r="A127" s="48" t="n"/>
      <c r="B127" s="51" t="n"/>
      <c r="C127" s="51" t="n"/>
      <c r="D127" s="51" t="n"/>
      <c r="E127" s="51" t="n"/>
      <c r="F127" s="48" t="n"/>
      <c r="G127" s="48" t="n"/>
      <c r="H127" s="48" t="n"/>
      <c r="I127" s="51" t="n"/>
      <c r="J127" s="51" t="n"/>
      <c r="K127" s="51">
        <f>IF(A127="","",B127+C127)</f>
        <v/>
      </c>
      <c r="L127" s="51">
        <f>IF(A127="","",K127/12)</f>
        <v/>
      </c>
      <c r="M127" s="51">
        <f>IF(A127="","",K127/2080)</f>
        <v/>
      </c>
      <c r="N127" s="51">
        <f>IF(A127="","",B127+C127+D127+E127+I127+J127)</f>
        <v/>
      </c>
      <c r="O127" s="51">
        <f>IF(A127="","",N127*0.25)</f>
        <v/>
      </c>
      <c r="P127" s="51">
        <f>IF(A127="","",N127-O127)</f>
        <v/>
      </c>
      <c r="Q127" s="51">
        <f>IF(A127="","",ROUND(B127*0.4+C127*0.1+D127*0.1+E127*0.1+IF(G127="Yes",5000,0)*0.1+F127*500*0.1+IF(H127="Yes",5000,0)*0.1,0))</f>
        <v/>
      </c>
      <c r="R127" s="48">
        <f>IF(A127="","",ROUND(Q127/1000,1))</f>
        <v/>
      </c>
      <c r="S127" s="48">
        <f>IF(A127="","",RANK(R127,$R$2:$R$500,0))</f>
        <v/>
      </c>
    </row>
    <row r="128" ht="22" customHeight="1">
      <c r="A128" s="46" t="n"/>
      <c r="B128" s="50" t="n"/>
      <c r="C128" s="50" t="n"/>
      <c r="D128" s="50" t="n"/>
      <c r="E128" s="50" t="n"/>
      <c r="F128" s="46" t="n"/>
      <c r="G128" s="46" t="n"/>
      <c r="H128" s="46" t="n"/>
      <c r="I128" s="50" t="n"/>
      <c r="J128" s="50" t="n"/>
      <c r="K128" s="50">
        <f>IF(A128="","",B128+C128)</f>
        <v/>
      </c>
      <c r="L128" s="50">
        <f>IF(A128="","",K128/12)</f>
        <v/>
      </c>
      <c r="M128" s="50">
        <f>IF(A128="","",K128/2080)</f>
        <v/>
      </c>
      <c r="N128" s="50">
        <f>IF(A128="","",B128+C128+D128+E128+I128+J128)</f>
        <v/>
      </c>
      <c r="O128" s="50">
        <f>IF(A128="","",N128*0.25)</f>
        <v/>
      </c>
      <c r="P128" s="50">
        <f>IF(A128="","",N128-O128)</f>
        <v/>
      </c>
      <c r="Q128" s="50">
        <f>IF(A128="","",ROUND(B128*0.4+C128*0.1+D128*0.1+E128*0.1+IF(G128="Yes",5000,0)*0.1+F128*500*0.1+IF(H128="Yes",5000,0)*0.1,0))</f>
        <v/>
      </c>
      <c r="R128" s="46">
        <f>IF(A128="","",ROUND(Q128/1000,1))</f>
        <v/>
      </c>
      <c r="S128" s="46">
        <f>IF(A128="","",RANK(R128,$R$2:$R$500,0))</f>
        <v/>
      </c>
    </row>
    <row r="129" ht="22" customHeight="1">
      <c r="A129" s="48" t="n"/>
      <c r="B129" s="51" t="n"/>
      <c r="C129" s="51" t="n"/>
      <c r="D129" s="51" t="n"/>
      <c r="E129" s="51" t="n"/>
      <c r="F129" s="48" t="n"/>
      <c r="G129" s="48" t="n"/>
      <c r="H129" s="48" t="n"/>
      <c r="I129" s="51" t="n"/>
      <c r="J129" s="51" t="n"/>
      <c r="K129" s="51">
        <f>IF(A129="","",B129+C129)</f>
        <v/>
      </c>
      <c r="L129" s="51">
        <f>IF(A129="","",K129/12)</f>
        <v/>
      </c>
      <c r="M129" s="51">
        <f>IF(A129="","",K129/2080)</f>
        <v/>
      </c>
      <c r="N129" s="51">
        <f>IF(A129="","",B129+C129+D129+E129+I129+J129)</f>
        <v/>
      </c>
      <c r="O129" s="51">
        <f>IF(A129="","",N129*0.25)</f>
        <v/>
      </c>
      <c r="P129" s="51">
        <f>IF(A129="","",N129-O129)</f>
        <v/>
      </c>
      <c r="Q129" s="51">
        <f>IF(A129="","",ROUND(B129*0.4+C129*0.1+D129*0.1+E129*0.1+IF(G129="Yes",5000,0)*0.1+F129*500*0.1+IF(H129="Yes",5000,0)*0.1,0))</f>
        <v/>
      </c>
      <c r="R129" s="48">
        <f>IF(A129="","",ROUND(Q129/1000,1))</f>
        <v/>
      </c>
      <c r="S129" s="48">
        <f>IF(A129="","",RANK(R129,$R$2:$R$500,0))</f>
        <v/>
      </c>
    </row>
    <row r="130" ht="22" customHeight="1">
      <c r="A130" s="46" t="n"/>
      <c r="B130" s="50" t="n"/>
      <c r="C130" s="50" t="n"/>
      <c r="D130" s="50" t="n"/>
      <c r="E130" s="50" t="n"/>
      <c r="F130" s="46" t="n"/>
      <c r="G130" s="46" t="n"/>
      <c r="H130" s="46" t="n"/>
      <c r="I130" s="50" t="n"/>
      <c r="J130" s="50" t="n"/>
      <c r="K130" s="50">
        <f>IF(A130="","",B130+C130)</f>
        <v/>
      </c>
      <c r="L130" s="50">
        <f>IF(A130="","",K130/12)</f>
        <v/>
      </c>
      <c r="M130" s="50">
        <f>IF(A130="","",K130/2080)</f>
        <v/>
      </c>
      <c r="N130" s="50">
        <f>IF(A130="","",B130+C130+D130+E130+I130+J130)</f>
        <v/>
      </c>
      <c r="O130" s="50">
        <f>IF(A130="","",N130*0.25)</f>
        <v/>
      </c>
      <c r="P130" s="50">
        <f>IF(A130="","",N130-O130)</f>
        <v/>
      </c>
      <c r="Q130" s="50">
        <f>IF(A130="","",ROUND(B130*0.4+C130*0.1+D130*0.1+E130*0.1+IF(G130="Yes",5000,0)*0.1+F130*500*0.1+IF(H130="Yes",5000,0)*0.1,0))</f>
        <v/>
      </c>
      <c r="R130" s="46">
        <f>IF(A130="","",ROUND(Q130/1000,1))</f>
        <v/>
      </c>
      <c r="S130" s="46">
        <f>IF(A130="","",RANK(R130,$R$2:$R$500,0))</f>
        <v/>
      </c>
    </row>
    <row r="131" ht="22" customHeight="1">
      <c r="A131" s="48" t="n"/>
      <c r="B131" s="51" t="n"/>
      <c r="C131" s="51" t="n"/>
      <c r="D131" s="51" t="n"/>
      <c r="E131" s="51" t="n"/>
      <c r="F131" s="48" t="n"/>
      <c r="G131" s="48" t="n"/>
      <c r="H131" s="48" t="n"/>
      <c r="I131" s="51" t="n"/>
      <c r="J131" s="51" t="n"/>
      <c r="K131" s="51">
        <f>IF(A131="","",B131+C131)</f>
        <v/>
      </c>
      <c r="L131" s="51">
        <f>IF(A131="","",K131/12)</f>
        <v/>
      </c>
      <c r="M131" s="51">
        <f>IF(A131="","",K131/2080)</f>
        <v/>
      </c>
      <c r="N131" s="51">
        <f>IF(A131="","",B131+C131+D131+E131+I131+J131)</f>
        <v/>
      </c>
      <c r="O131" s="51">
        <f>IF(A131="","",N131*0.25)</f>
        <v/>
      </c>
      <c r="P131" s="51">
        <f>IF(A131="","",N131-O131)</f>
        <v/>
      </c>
      <c r="Q131" s="51">
        <f>IF(A131="","",ROUND(B131*0.4+C131*0.1+D131*0.1+E131*0.1+IF(G131="Yes",5000,0)*0.1+F131*500*0.1+IF(H131="Yes",5000,0)*0.1,0))</f>
        <v/>
      </c>
      <c r="R131" s="48">
        <f>IF(A131="","",ROUND(Q131/1000,1))</f>
        <v/>
      </c>
      <c r="S131" s="48">
        <f>IF(A131="","",RANK(R131,$R$2:$R$500,0))</f>
        <v/>
      </c>
    </row>
    <row r="132" ht="22" customHeight="1">
      <c r="A132" s="46" t="n"/>
      <c r="B132" s="50" t="n"/>
      <c r="C132" s="50" t="n"/>
      <c r="D132" s="50" t="n"/>
      <c r="E132" s="50" t="n"/>
      <c r="F132" s="46" t="n"/>
      <c r="G132" s="46" t="n"/>
      <c r="H132" s="46" t="n"/>
      <c r="I132" s="50" t="n"/>
      <c r="J132" s="50" t="n"/>
      <c r="K132" s="50">
        <f>IF(A132="","",B132+C132)</f>
        <v/>
      </c>
      <c r="L132" s="50">
        <f>IF(A132="","",K132/12)</f>
        <v/>
      </c>
      <c r="M132" s="50">
        <f>IF(A132="","",K132/2080)</f>
        <v/>
      </c>
      <c r="N132" s="50">
        <f>IF(A132="","",B132+C132+D132+E132+I132+J132)</f>
        <v/>
      </c>
      <c r="O132" s="50">
        <f>IF(A132="","",N132*0.25)</f>
        <v/>
      </c>
      <c r="P132" s="50">
        <f>IF(A132="","",N132-O132)</f>
        <v/>
      </c>
      <c r="Q132" s="50">
        <f>IF(A132="","",ROUND(B132*0.4+C132*0.1+D132*0.1+E132*0.1+IF(G132="Yes",5000,0)*0.1+F132*500*0.1+IF(H132="Yes",5000,0)*0.1,0))</f>
        <v/>
      </c>
      <c r="R132" s="46">
        <f>IF(A132="","",ROUND(Q132/1000,1))</f>
        <v/>
      </c>
      <c r="S132" s="46">
        <f>IF(A132="","",RANK(R132,$R$2:$R$500,0))</f>
        <v/>
      </c>
    </row>
    <row r="133" ht="22" customHeight="1">
      <c r="A133" s="48" t="n"/>
      <c r="B133" s="51" t="n"/>
      <c r="C133" s="51" t="n"/>
      <c r="D133" s="51" t="n"/>
      <c r="E133" s="51" t="n"/>
      <c r="F133" s="48" t="n"/>
      <c r="G133" s="48" t="n"/>
      <c r="H133" s="48" t="n"/>
      <c r="I133" s="51" t="n"/>
      <c r="J133" s="51" t="n"/>
      <c r="K133" s="51">
        <f>IF(A133="","",B133+C133)</f>
        <v/>
      </c>
      <c r="L133" s="51">
        <f>IF(A133="","",K133/12)</f>
        <v/>
      </c>
      <c r="M133" s="51">
        <f>IF(A133="","",K133/2080)</f>
        <v/>
      </c>
      <c r="N133" s="51">
        <f>IF(A133="","",B133+C133+D133+E133+I133+J133)</f>
        <v/>
      </c>
      <c r="O133" s="51">
        <f>IF(A133="","",N133*0.25)</f>
        <v/>
      </c>
      <c r="P133" s="51">
        <f>IF(A133="","",N133-O133)</f>
        <v/>
      </c>
      <c r="Q133" s="51">
        <f>IF(A133="","",ROUND(B133*0.4+C133*0.1+D133*0.1+E133*0.1+IF(G133="Yes",5000,0)*0.1+F133*500*0.1+IF(H133="Yes",5000,0)*0.1,0))</f>
        <v/>
      </c>
      <c r="R133" s="48">
        <f>IF(A133="","",ROUND(Q133/1000,1))</f>
        <v/>
      </c>
      <c r="S133" s="48">
        <f>IF(A133="","",RANK(R133,$R$2:$R$500,0))</f>
        <v/>
      </c>
    </row>
    <row r="134" ht="22" customHeight="1">
      <c r="A134" s="46" t="n"/>
      <c r="B134" s="50" t="n"/>
      <c r="C134" s="50" t="n"/>
      <c r="D134" s="50" t="n"/>
      <c r="E134" s="50" t="n"/>
      <c r="F134" s="46" t="n"/>
      <c r="G134" s="46" t="n"/>
      <c r="H134" s="46" t="n"/>
      <c r="I134" s="50" t="n"/>
      <c r="J134" s="50" t="n"/>
      <c r="K134" s="50">
        <f>IF(A134="","",B134+C134)</f>
        <v/>
      </c>
      <c r="L134" s="50">
        <f>IF(A134="","",K134/12)</f>
        <v/>
      </c>
      <c r="M134" s="50">
        <f>IF(A134="","",K134/2080)</f>
        <v/>
      </c>
      <c r="N134" s="50">
        <f>IF(A134="","",B134+C134+D134+E134+I134+J134)</f>
        <v/>
      </c>
      <c r="O134" s="50">
        <f>IF(A134="","",N134*0.25)</f>
        <v/>
      </c>
      <c r="P134" s="50">
        <f>IF(A134="","",N134-O134)</f>
        <v/>
      </c>
      <c r="Q134" s="50">
        <f>IF(A134="","",ROUND(B134*0.4+C134*0.1+D134*0.1+E134*0.1+IF(G134="Yes",5000,0)*0.1+F134*500*0.1+IF(H134="Yes",5000,0)*0.1,0))</f>
        <v/>
      </c>
      <c r="R134" s="46">
        <f>IF(A134="","",ROUND(Q134/1000,1))</f>
        <v/>
      </c>
      <c r="S134" s="46">
        <f>IF(A134="","",RANK(R134,$R$2:$R$500,0))</f>
        <v/>
      </c>
    </row>
    <row r="135" ht="22" customHeight="1">
      <c r="A135" s="48" t="n"/>
      <c r="B135" s="51" t="n"/>
      <c r="C135" s="51" t="n"/>
      <c r="D135" s="51" t="n"/>
      <c r="E135" s="51" t="n"/>
      <c r="F135" s="48" t="n"/>
      <c r="G135" s="48" t="n"/>
      <c r="H135" s="48" t="n"/>
      <c r="I135" s="51" t="n"/>
      <c r="J135" s="51" t="n"/>
      <c r="K135" s="51">
        <f>IF(A135="","",B135+C135)</f>
        <v/>
      </c>
      <c r="L135" s="51">
        <f>IF(A135="","",K135/12)</f>
        <v/>
      </c>
      <c r="M135" s="51">
        <f>IF(A135="","",K135/2080)</f>
        <v/>
      </c>
      <c r="N135" s="51">
        <f>IF(A135="","",B135+C135+D135+E135+I135+J135)</f>
        <v/>
      </c>
      <c r="O135" s="51">
        <f>IF(A135="","",N135*0.25)</f>
        <v/>
      </c>
      <c r="P135" s="51">
        <f>IF(A135="","",N135-O135)</f>
        <v/>
      </c>
      <c r="Q135" s="51">
        <f>IF(A135="","",ROUND(B135*0.4+C135*0.1+D135*0.1+E135*0.1+IF(G135="Yes",5000,0)*0.1+F135*500*0.1+IF(H135="Yes",5000,0)*0.1,0))</f>
        <v/>
      </c>
      <c r="R135" s="48">
        <f>IF(A135="","",ROUND(Q135/1000,1))</f>
        <v/>
      </c>
      <c r="S135" s="48">
        <f>IF(A135="","",RANK(R135,$R$2:$R$500,0))</f>
        <v/>
      </c>
    </row>
    <row r="136" ht="22" customHeight="1">
      <c r="A136" s="46" t="n"/>
      <c r="B136" s="50" t="n"/>
      <c r="C136" s="50" t="n"/>
      <c r="D136" s="50" t="n"/>
      <c r="E136" s="50" t="n"/>
      <c r="F136" s="46" t="n"/>
      <c r="G136" s="46" t="n"/>
      <c r="H136" s="46" t="n"/>
      <c r="I136" s="50" t="n"/>
      <c r="J136" s="50" t="n"/>
      <c r="K136" s="50">
        <f>IF(A136="","",B136+C136)</f>
        <v/>
      </c>
      <c r="L136" s="50">
        <f>IF(A136="","",K136/12)</f>
        <v/>
      </c>
      <c r="M136" s="50">
        <f>IF(A136="","",K136/2080)</f>
        <v/>
      </c>
      <c r="N136" s="50">
        <f>IF(A136="","",B136+C136+D136+E136+I136+J136)</f>
        <v/>
      </c>
      <c r="O136" s="50">
        <f>IF(A136="","",N136*0.25)</f>
        <v/>
      </c>
      <c r="P136" s="50">
        <f>IF(A136="","",N136-O136)</f>
        <v/>
      </c>
      <c r="Q136" s="50">
        <f>IF(A136="","",ROUND(B136*0.4+C136*0.1+D136*0.1+E136*0.1+IF(G136="Yes",5000,0)*0.1+F136*500*0.1+IF(H136="Yes",5000,0)*0.1,0))</f>
        <v/>
      </c>
      <c r="R136" s="46">
        <f>IF(A136="","",ROUND(Q136/1000,1))</f>
        <v/>
      </c>
      <c r="S136" s="46">
        <f>IF(A136="","",RANK(R136,$R$2:$R$500,0))</f>
        <v/>
      </c>
    </row>
    <row r="137" ht="22" customHeight="1">
      <c r="A137" s="48" t="n"/>
      <c r="B137" s="51" t="n"/>
      <c r="C137" s="51" t="n"/>
      <c r="D137" s="51" t="n"/>
      <c r="E137" s="51" t="n"/>
      <c r="F137" s="48" t="n"/>
      <c r="G137" s="48" t="n"/>
      <c r="H137" s="48" t="n"/>
      <c r="I137" s="51" t="n"/>
      <c r="J137" s="51" t="n"/>
      <c r="K137" s="51">
        <f>IF(A137="","",B137+C137)</f>
        <v/>
      </c>
      <c r="L137" s="51">
        <f>IF(A137="","",K137/12)</f>
        <v/>
      </c>
      <c r="M137" s="51">
        <f>IF(A137="","",K137/2080)</f>
        <v/>
      </c>
      <c r="N137" s="51">
        <f>IF(A137="","",B137+C137+D137+E137+I137+J137)</f>
        <v/>
      </c>
      <c r="O137" s="51">
        <f>IF(A137="","",N137*0.25)</f>
        <v/>
      </c>
      <c r="P137" s="51">
        <f>IF(A137="","",N137-O137)</f>
        <v/>
      </c>
      <c r="Q137" s="51">
        <f>IF(A137="","",ROUND(B137*0.4+C137*0.1+D137*0.1+E137*0.1+IF(G137="Yes",5000,0)*0.1+F137*500*0.1+IF(H137="Yes",5000,0)*0.1,0))</f>
        <v/>
      </c>
      <c r="R137" s="48">
        <f>IF(A137="","",ROUND(Q137/1000,1))</f>
        <v/>
      </c>
      <c r="S137" s="48">
        <f>IF(A137="","",RANK(R137,$R$2:$R$500,0))</f>
        <v/>
      </c>
    </row>
    <row r="138" ht="22" customHeight="1">
      <c r="A138" s="46" t="n"/>
      <c r="B138" s="50" t="n"/>
      <c r="C138" s="50" t="n"/>
      <c r="D138" s="50" t="n"/>
      <c r="E138" s="50" t="n"/>
      <c r="F138" s="46" t="n"/>
      <c r="G138" s="46" t="n"/>
      <c r="H138" s="46" t="n"/>
      <c r="I138" s="50" t="n"/>
      <c r="J138" s="50" t="n"/>
      <c r="K138" s="50">
        <f>IF(A138="","",B138+C138)</f>
        <v/>
      </c>
      <c r="L138" s="50">
        <f>IF(A138="","",K138/12)</f>
        <v/>
      </c>
      <c r="M138" s="50">
        <f>IF(A138="","",K138/2080)</f>
        <v/>
      </c>
      <c r="N138" s="50">
        <f>IF(A138="","",B138+C138+D138+E138+I138+J138)</f>
        <v/>
      </c>
      <c r="O138" s="50">
        <f>IF(A138="","",N138*0.25)</f>
        <v/>
      </c>
      <c r="P138" s="50">
        <f>IF(A138="","",N138-O138)</f>
        <v/>
      </c>
      <c r="Q138" s="50">
        <f>IF(A138="","",ROUND(B138*0.4+C138*0.1+D138*0.1+E138*0.1+IF(G138="Yes",5000,0)*0.1+F138*500*0.1+IF(H138="Yes",5000,0)*0.1,0))</f>
        <v/>
      </c>
      <c r="R138" s="46">
        <f>IF(A138="","",ROUND(Q138/1000,1))</f>
        <v/>
      </c>
      <c r="S138" s="46">
        <f>IF(A138="","",RANK(R138,$R$2:$R$500,0))</f>
        <v/>
      </c>
    </row>
    <row r="139" ht="22" customHeight="1">
      <c r="A139" s="48" t="n"/>
      <c r="B139" s="51" t="n"/>
      <c r="C139" s="51" t="n"/>
      <c r="D139" s="51" t="n"/>
      <c r="E139" s="51" t="n"/>
      <c r="F139" s="48" t="n"/>
      <c r="G139" s="48" t="n"/>
      <c r="H139" s="48" t="n"/>
      <c r="I139" s="51" t="n"/>
      <c r="J139" s="51" t="n"/>
      <c r="K139" s="51">
        <f>IF(A139="","",B139+C139)</f>
        <v/>
      </c>
      <c r="L139" s="51">
        <f>IF(A139="","",K139/12)</f>
        <v/>
      </c>
      <c r="M139" s="51">
        <f>IF(A139="","",K139/2080)</f>
        <v/>
      </c>
      <c r="N139" s="51">
        <f>IF(A139="","",B139+C139+D139+E139+I139+J139)</f>
        <v/>
      </c>
      <c r="O139" s="51">
        <f>IF(A139="","",N139*0.25)</f>
        <v/>
      </c>
      <c r="P139" s="51">
        <f>IF(A139="","",N139-O139)</f>
        <v/>
      </c>
      <c r="Q139" s="51">
        <f>IF(A139="","",ROUND(B139*0.4+C139*0.1+D139*0.1+E139*0.1+IF(G139="Yes",5000,0)*0.1+F139*500*0.1+IF(H139="Yes",5000,0)*0.1,0))</f>
        <v/>
      </c>
      <c r="R139" s="48">
        <f>IF(A139="","",ROUND(Q139/1000,1))</f>
        <v/>
      </c>
      <c r="S139" s="48">
        <f>IF(A139="","",RANK(R139,$R$2:$R$500,0))</f>
        <v/>
      </c>
    </row>
    <row r="140" ht="22" customHeight="1">
      <c r="A140" s="46" t="n"/>
      <c r="B140" s="50" t="n"/>
      <c r="C140" s="50" t="n"/>
      <c r="D140" s="50" t="n"/>
      <c r="E140" s="50" t="n"/>
      <c r="F140" s="46" t="n"/>
      <c r="G140" s="46" t="n"/>
      <c r="H140" s="46" t="n"/>
      <c r="I140" s="50" t="n"/>
      <c r="J140" s="50" t="n"/>
      <c r="K140" s="50">
        <f>IF(A140="","",B140+C140)</f>
        <v/>
      </c>
      <c r="L140" s="50">
        <f>IF(A140="","",K140/12)</f>
        <v/>
      </c>
      <c r="M140" s="50">
        <f>IF(A140="","",K140/2080)</f>
        <v/>
      </c>
      <c r="N140" s="50">
        <f>IF(A140="","",B140+C140+D140+E140+I140+J140)</f>
        <v/>
      </c>
      <c r="O140" s="50">
        <f>IF(A140="","",N140*0.25)</f>
        <v/>
      </c>
      <c r="P140" s="50">
        <f>IF(A140="","",N140-O140)</f>
        <v/>
      </c>
      <c r="Q140" s="50">
        <f>IF(A140="","",ROUND(B140*0.4+C140*0.1+D140*0.1+E140*0.1+IF(G140="Yes",5000,0)*0.1+F140*500*0.1+IF(H140="Yes",5000,0)*0.1,0))</f>
        <v/>
      </c>
      <c r="R140" s="46">
        <f>IF(A140="","",ROUND(Q140/1000,1))</f>
        <v/>
      </c>
      <c r="S140" s="46">
        <f>IF(A140="","",RANK(R140,$R$2:$R$500,0))</f>
        <v/>
      </c>
    </row>
    <row r="141" ht="22" customHeight="1">
      <c r="A141" s="48" t="n"/>
      <c r="B141" s="51" t="n"/>
      <c r="C141" s="51" t="n"/>
      <c r="D141" s="51" t="n"/>
      <c r="E141" s="51" t="n"/>
      <c r="F141" s="48" t="n"/>
      <c r="G141" s="48" t="n"/>
      <c r="H141" s="48" t="n"/>
      <c r="I141" s="51" t="n"/>
      <c r="J141" s="51" t="n"/>
      <c r="K141" s="51">
        <f>IF(A141="","",B141+C141)</f>
        <v/>
      </c>
      <c r="L141" s="51">
        <f>IF(A141="","",K141/12)</f>
        <v/>
      </c>
      <c r="M141" s="51">
        <f>IF(A141="","",K141/2080)</f>
        <v/>
      </c>
      <c r="N141" s="51">
        <f>IF(A141="","",B141+C141+D141+E141+I141+J141)</f>
        <v/>
      </c>
      <c r="O141" s="51">
        <f>IF(A141="","",N141*0.25)</f>
        <v/>
      </c>
      <c r="P141" s="51">
        <f>IF(A141="","",N141-O141)</f>
        <v/>
      </c>
      <c r="Q141" s="51">
        <f>IF(A141="","",ROUND(B141*0.4+C141*0.1+D141*0.1+E141*0.1+IF(G141="Yes",5000,0)*0.1+F141*500*0.1+IF(H141="Yes",5000,0)*0.1,0))</f>
        <v/>
      </c>
      <c r="R141" s="48">
        <f>IF(A141="","",ROUND(Q141/1000,1))</f>
        <v/>
      </c>
      <c r="S141" s="48">
        <f>IF(A141="","",RANK(R141,$R$2:$R$500,0))</f>
        <v/>
      </c>
    </row>
    <row r="142" ht="22" customHeight="1">
      <c r="A142" s="46" t="n"/>
      <c r="B142" s="50" t="n"/>
      <c r="C142" s="50" t="n"/>
      <c r="D142" s="50" t="n"/>
      <c r="E142" s="50" t="n"/>
      <c r="F142" s="46" t="n"/>
      <c r="G142" s="46" t="n"/>
      <c r="H142" s="46" t="n"/>
      <c r="I142" s="50" t="n"/>
      <c r="J142" s="50" t="n"/>
      <c r="K142" s="50">
        <f>IF(A142="","",B142+C142)</f>
        <v/>
      </c>
      <c r="L142" s="50">
        <f>IF(A142="","",K142/12)</f>
        <v/>
      </c>
      <c r="M142" s="50">
        <f>IF(A142="","",K142/2080)</f>
        <v/>
      </c>
      <c r="N142" s="50">
        <f>IF(A142="","",B142+C142+D142+E142+I142+J142)</f>
        <v/>
      </c>
      <c r="O142" s="50">
        <f>IF(A142="","",N142*0.25)</f>
        <v/>
      </c>
      <c r="P142" s="50">
        <f>IF(A142="","",N142-O142)</f>
        <v/>
      </c>
      <c r="Q142" s="50">
        <f>IF(A142="","",ROUND(B142*0.4+C142*0.1+D142*0.1+E142*0.1+IF(G142="Yes",5000,0)*0.1+F142*500*0.1+IF(H142="Yes",5000,0)*0.1,0))</f>
        <v/>
      </c>
      <c r="R142" s="46">
        <f>IF(A142="","",ROUND(Q142/1000,1))</f>
        <v/>
      </c>
      <c r="S142" s="46">
        <f>IF(A142="","",RANK(R142,$R$2:$R$500,0))</f>
        <v/>
      </c>
    </row>
    <row r="143" ht="22" customHeight="1">
      <c r="A143" s="48" t="n"/>
      <c r="B143" s="51" t="n"/>
      <c r="C143" s="51" t="n"/>
      <c r="D143" s="51" t="n"/>
      <c r="E143" s="51" t="n"/>
      <c r="F143" s="48" t="n"/>
      <c r="G143" s="48" t="n"/>
      <c r="H143" s="48" t="n"/>
      <c r="I143" s="51" t="n"/>
      <c r="J143" s="51" t="n"/>
      <c r="K143" s="51">
        <f>IF(A143="","",B143+C143)</f>
        <v/>
      </c>
      <c r="L143" s="51">
        <f>IF(A143="","",K143/12)</f>
        <v/>
      </c>
      <c r="M143" s="51">
        <f>IF(A143="","",K143/2080)</f>
        <v/>
      </c>
      <c r="N143" s="51">
        <f>IF(A143="","",B143+C143+D143+E143+I143+J143)</f>
        <v/>
      </c>
      <c r="O143" s="51">
        <f>IF(A143="","",N143*0.25)</f>
        <v/>
      </c>
      <c r="P143" s="51">
        <f>IF(A143="","",N143-O143)</f>
        <v/>
      </c>
      <c r="Q143" s="51">
        <f>IF(A143="","",ROUND(B143*0.4+C143*0.1+D143*0.1+E143*0.1+IF(G143="Yes",5000,0)*0.1+F143*500*0.1+IF(H143="Yes",5000,0)*0.1,0))</f>
        <v/>
      </c>
      <c r="R143" s="48">
        <f>IF(A143="","",ROUND(Q143/1000,1))</f>
        <v/>
      </c>
      <c r="S143" s="48">
        <f>IF(A143="","",RANK(R143,$R$2:$R$500,0))</f>
        <v/>
      </c>
    </row>
    <row r="144" ht="22" customHeight="1">
      <c r="A144" s="46" t="n"/>
      <c r="B144" s="50" t="n"/>
      <c r="C144" s="50" t="n"/>
      <c r="D144" s="50" t="n"/>
      <c r="E144" s="50" t="n"/>
      <c r="F144" s="46" t="n"/>
      <c r="G144" s="46" t="n"/>
      <c r="H144" s="46" t="n"/>
      <c r="I144" s="50" t="n"/>
      <c r="J144" s="50" t="n"/>
      <c r="K144" s="50">
        <f>IF(A144="","",B144+C144)</f>
        <v/>
      </c>
      <c r="L144" s="50">
        <f>IF(A144="","",K144/12)</f>
        <v/>
      </c>
      <c r="M144" s="50">
        <f>IF(A144="","",K144/2080)</f>
        <v/>
      </c>
      <c r="N144" s="50">
        <f>IF(A144="","",B144+C144+D144+E144+I144+J144)</f>
        <v/>
      </c>
      <c r="O144" s="50">
        <f>IF(A144="","",N144*0.25)</f>
        <v/>
      </c>
      <c r="P144" s="50">
        <f>IF(A144="","",N144-O144)</f>
        <v/>
      </c>
      <c r="Q144" s="50">
        <f>IF(A144="","",ROUND(B144*0.4+C144*0.1+D144*0.1+E144*0.1+IF(G144="Yes",5000,0)*0.1+F144*500*0.1+IF(H144="Yes",5000,0)*0.1,0))</f>
        <v/>
      </c>
      <c r="R144" s="46">
        <f>IF(A144="","",ROUND(Q144/1000,1))</f>
        <v/>
      </c>
      <c r="S144" s="46">
        <f>IF(A144="","",RANK(R144,$R$2:$R$500,0))</f>
        <v/>
      </c>
    </row>
    <row r="145" ht="22" customHeight="1">
      <c r="A145" s="48" t="n"/>
      <c r="B145" s="51" t="n"/>
      <c r="C145" s="51" t="n"/>
      <c r="D145" s="51" t="n"/>
      <c r="E145" s="51" t="n"/>
      <c r="F145" s="48" t="n"/>
      <c r="G145" s="48" t="n"/>
      <c r="H145" s="48" t="n"/>
      <c r="I145" s="51" t="n"/>
      <c r="J145" s="51" t="n"/>
      <c r="K145" s="51">
        <f>IF(A145="","",B145+C145)</f>
        <v/>
      </c>
      <c r="L145" s="51">
        <f>IF(A145="","",K145/12)</f>
        <v/>
      </c>
      <c r="M145" s="51">
        <f>IF(A145="","",K145/2080)</f>
        <v/>
      </c>
      <c r="N145" s="51">
        <f>IF(A145="","",B145+C145+D145+E145+I145+J145)</f>
        <v/>
      </c>
      <c r="O145" s="51">
        <f>IF(A145="","",N145*0.25)</f>
        <v/>
      </c>
      <c r="P145" s="51">
        <f>IF(A145="","",N145-O145)</f>
        <v/>
      </c>
      <c r="Q145" s="51">
        <f>IF(A145="","",ROUND(B145*0.4+C145*0.1+D145*0.1+E145*0.1+IF(G145="Yes",5000,0)*0.1+F145*500*0.1+IF(H145="Yes",5000,0)*0.1,0))</f>
        <v/>
      </c>
      <c r="R145" s="48">
        <f>IF(A145="","",ROUND(Q145/1000,1))</f>
        <v/>
      </c>
      <c r="S145" s="48">
        <f>IF(A145="","",RANK(R145,$R$2:$R$500,0))</f>
        <v/>
      </c>
    </row>
    <row r="146" ht="22" customHeight="1">
      <c r="A146" s="46" t="n"/>
      <c r="B146" s="50" t="n"/>
      <c r="C146" s="50" t="n"/>
      <c r="D146" s="50" t="n"/>
      <c r="E146" s="50" t="n"/>
      <c r="F146" s="46" t="n"/>
      <c r="G146" s="46" t="n"/>
      <c r="H146" s="46" t="n"/>
      <c r="I146" s="50" t="n"/>
      <c r="J146" s="50" t="n"/>
      <c r="K146" s="50">
        <f>IF(A146="","",B146+C146)</f>
        <v/>
      </c>
      <c r="L146" s="50">
        <f>IF(A146="","",K146/12)</f>
        <v/>
      </c>
      <c r="M146" s="50">
        <f>IF(A146="","",K146/2080)</f>
        <v/>
      </c>
      <c r="N146" s="50">
        <f>IF(A146="","",B146+C146+D146+E146+I146+J146)</f>
        <v/>
      </c>
      <c r="O146" s="50">
        <f>IF(A146="","",N146*0.25)</f>
        <v/>
      </c>
      <c r="P146" s="50">
        <f>IF(A146="","",N146-O146)</f>
        <v/>
      </c>
      <c r="Q146" s="50">
        <f>IF(A146="","",ROUND(B146*0.4+C146*0.1+D146*0.1+E146*0.1+IF(G146="Yes",5000,0)*0.1+F146*500*0.1+IF(H146="Yes",5000,0)*0.1,0))</f>
        <v/>
      </c>
      <c r="R146" s="46">
        <f>IF(A146="","",ROUND(Q146/1000,1))</f>
        <v/>
      </c>
      <c r="S146" s="46">
        <f>IF(A146="","",RANK(R146,$R$2:$R$500,0))</f>
        <v/>
      </c>
    </row>
    <row r="147" ht="22" customHeight="1">
      <c r="A147" s="48" t="n"/>
      <c r="B147" s="51" t="n"/>
      <c r="C147" s="51" t="n"/>
      <c r="D147" s="51" t="n"/>
      <c r="E147" s="51" t="n"/>
      <c r="F147" s="48" t="n"/>
      <c r="G147" s="48" t="n"/>
      <c r="H147" s="48" t="n"/>
      <c r="I147" s="51" t="n"/>
      <c r="J147" s="51" t="n"/>
      <c r="K147" s="51">
        <f>IF(A147="","",B147+C147)</f>
        <v/>
      </c>
      <c r="L147" s="51">
        <f>IF(A147="","",K147/12)</f>
        <v/>
      </c>
      <c r="M147" s="51">
        <f>IF(A147="","",K147/2080)</f>
        <v/>
      </c>
      <c r="N147" s="51">
        <f>IF(A147="","",B147+C147+D147+E147+I147+J147)</f>
        <v/>
      </c>
      <c r="O147" s="51">
        <f>IF(A147="","",N147*0.25)</f>
        <v/>
      </c>
      <c r="P147" s="51">
        <f>IF(A147="","",N147-O147)</f>
        <v/>
      </c>
      <c r="Q147" s="51">
        <f>IF(A147="","",ROUND(B147*0.4+C147*0.1+D147*0.1+E147*0.1+IF(G147="Yes",5000,0)*0.1+F147*500*0.1+IF(H147="Yes",5000,0)*0.1,0))</f>
        <v/>
      </c>
      <c r="R147" s="48">
        <f>IF(A147="","",ROUND(Q147/1000,1))</f>
        <v/>
      </c>
      <c r="S147" s="48">
        <f>IF(A147="","",RANK(R147,$R$2:$R$500,0))</f>
        <v/>
      </c>
    </row>
    <row r="148" ht="22" customHeight="1">
      <c r="A148" s="46" t="n"/>
      <c r="B148" s="50" t="n"/>
      <c r="C148" s="50" t="n"/>
      <c r="D148" s="50" t="n"/>
      <c r="E148" s="50" t="n"/>
      <c r="F148" s="46" t="n"/>
      <c r="G148" s="46" t="n"/>
      <c r="H148" s="46" t="n"/>
      <c r="I148" s="50" t="n"/>
      <c r="J148" s="50" t="n"/>
      <c r="K148" s="50">
        <f>IF(A148="","",B148+C148)</f>
        <v/>
      </c>
      <c r="L148" s="50">
        <f>IF(A148="","",K148/12)</f>
        <v/>
      </c>
      <c r="M148" s="50">
        <f>IF(A148="","",K148/2080)</f>
        <v/>
      </c>
      <c r="N148" s="50">
        <f>IF(A148="","",B148+C148+D148+E148+I148+J148)</f>
        <v/>
      </c>
      <c r="O148" s="50">
        <f>IF(A148="","",N148*0.25)</f>
        <v/>
      </c>
      <c r="P148" s="50">
        <f>IF(A148="","",N148-O148)</f>
        <v/>
      </c>
      <c r="Q148" s="50">
        <f>IF(A148="","",ROUND(B148*0.4+C148*0.1+D148*0.1+E148*0.1+IF(G148="Yes",5000,0)*0.1+F148*500*0.1+IF(H148="Yes",5000,0)*0.1,0))</f>
        <v/>
      </c>
      <c r="R148" s="46">
        <f>IF(A148="","",ROUND(Q148/1000,1))</f>
        <v/>
      </c>
      <c r="S148" s="46">
        <f>IF(A148="","",RANK(R148,$R$2:$R$500,0))</f>
        <v/>
      </c>
    </row>
    <row r="149" ht="22" customHeight="1">
      <c r="A149" s="48" t="n"/>
      <c r="B149" s="51" t="n"/>
      <c r="C149" s="51" t="n"/>
      <c r="D149" s="51" t="n"/>
      <c r="E149" s="51" t="n"/>
      <c r="F149" s="48" t="n"/>
      <c r="G149" s="48" t="n"/>
      <c r="H149" s="48" t="n"/>
      <c r="I149" s="51" t="n"/>
      <c r="J149" s="51" t="n"/>
      <c r="K149" s="51">
        <f>IF(A149="","",B149+C149)</f>
        <v/>
      </c>
      <c r="L149" s="51">
        <f>IF(A149="","",K149/12)</f>
        <v/>
      </c>
      <c r="M149" s="51">
        <f>IF(A149="","",K149/2080)</f>
        <v/>
      </c>
      <c r="N149" s="51">
        <f>IF(A149="","",B149+C149+D149+E149+I149+J149)</f>
        <v/>
      </c>
      <c r="O149" s="51">
        <f>IF(A149="","",N149*0.25)</f>
        <v/>
      </c>
      <c r="P149" s="51">
        <f>IF(A149="","",N149-O149)</f>
        <v/>
      </c>
      <c r="Q149" s="51">
        <f>IF(A149="","",ROUND(B149*0.4+C149*0.1+D149*0.1+E149*0.1+IF(G149="Yes",5000,0)*0.1+F149*500*0.1+IF(H149="Yes",5000,0)*0.1,0))</f>
        <v/>
      </c>
      <c r="R149" s="48">
        <f>IF(A149="","",ROUND(Q149/1000,1))</f>
        <v/>
      </c>
      <c r="S149" s="48">
        <f>IF(A149="","",RANK(R149,$R$2:$R$500,0))</f>
        <v/>
      </c>
    </row>
    <row r="150" ht="22" customHeight="1">
      <c r="A150" s="46" t="n"/>
      <c r="B150" s="50" t="n"/>
      <c r="C150" s="50" t="n"/>
      <c r="D150" s="50" t="n"/>
      <c r="E150" s="50" t="n"/>
      <c r="F150" s="46" t="n"/>
      <c r="G150" s="46" t="n"/>
      <c r="H150" s="46" t="n"/>
      <c r="I150" s="50" t="n"/>
      <c r="J150" s="50" t="n"/>
      <c r="K150" s="50">
        <f>IF(A150="","",B150+C150)</f>
        <v/>
      </c>
      <c r="L150" s="50">
        <f>IF(A150="","",K150/12)</f>
        <v/>
      </c>
      <c r="M150" s="50">
        <f>IF(A150="","",K150/2080)</f>
        <v/>
      </c>
      <c r="N150" s="50">
        <f>IF(A150="","",B150+C150+D150+E150+I150+J150)</f>
        <v/>
      </c>
      <c r="O150" s="50">
        <f>IF(A150="","",N150*0.25)</f>
        <v/>
      </c>
      <c r="P150" s="50">
        <f>IF(A150="","",N150-O150)</f>
        <v/>
      </c>
      <c r="Q150" s="50">
        <f>IF(A150="","",ROUND(B150*0.4+C150*0.1+D150*0.1+E150*0.1+IF(G150="Yes",5000,0)*0.1+F150*500*0.1+IF(H150="Yes",5000,0)*0.1,0))</f>
        <v/>
      </c>
      <c r="R150" s="46">
        <f>IF(A150="","",ROUND(Q150/1000,1))</f>
        <v/>
      </c>
      <c r="S150" s="46">
        <f>IF(A150="","",RANK(R150,$R$2:$R$500,0))</f>
        <v/>
      </c>
    </row>
    <row r="151" ht="22" customHeight="1">
      <c r="A151" s="48" t="n"/>
      <c r="B151" s="51" t="n"/>
      <c r="C151" s="51" t="n"/>
      <c r="D151" s="51" t="n"/>
      <c r="E151" s="51" t="n"/>
      <c r="F151" s="48" t="n"/>
      <c r="G151" s="48" t="n"/>
      <c r="H151" s="48" t="n"/>
      <c r="I151" s="51" t="n"/>
      <c r="J151" s="51" t="n"/>
      <c r="K151" s="51">
        <f>IF(A151="","",B151+C151)</f>
        <v/>
      </c>
      <c r="L151" s="51">
        <f>IF(A151="","",K151/12)</f>
        <v/>
      </c>
      <c r="M151" s="51">
        <f>IF(A151="","",K151/2080)</f>
        <v/>
      </c>
      <c r="N151" s="51">
        <f>IF(A151="","",B151+C151+D151+E151+I151+J151)</f>
        <v/>
      </c>
      <c r="O151" s="51">
        <f>IF(A151="","",N151*0.25)</f>
        <v/>
      </c>
      <c r="P151" s="51">
        <f>IF(A151="","",N151-O151)</f>
        <v/>
      </c>
      <c r="Q151" s="51">
        <f>IF(A151="","",ROUND(B151*0.4+C151*0.1+D151*0.1+E151*0.1+IF(G151="Yes",5000,0)*0.1+F151*500*0.1+IF(H151="Yes",5000,0)*0.1,0))</f>
        <v/>
      </c>
      <c r="R151" s="48">
        <f>IF(A151="","",ROUND(Q151/1000,1))</f>
        <v/>
      </c>
      <c r="S151" s="48">
        <f>IF(A151="","",RANK(R151,$R$2:$R$500,0))</f>
        <v/>
      </c>
    </row>
    <row r="152" ht="22" customHeight="1">
      <c r="A152" s="46" t="n"/>
      <c r="B152" s="50" t="n"/>
      <c r="C152" s="50" t="n"/>
      <c r="D152" s="50" t="n"/>
      <c r="E152" s="50" t="n"/>
      <c r="F152" s="46" t="n"/>
      <c r="G152" s="46" t="n"/>
      <c r="H152" s="46" t="n"/>
      <c r="I152" s="50" t="n"/>
      <c r="J152" s="50" t="n"/>
      <c r="K152" s="50">
        <f>IF(A152="","",B152+C152)</f>
        <v/>
      </c>
      <c r="L152" s="50">
        <f>IF(A152="","",K152/12)</f>
        <v/>
      </c>
      <c r="M152" s="50">
        <f>IF(A152="","",K152/2080)</f>
        <v/>
      </c>
      <c r="N152" s="50">
        <f>IF(A152="","",B152+C152+D152+E152+I152+J152)</f>
        <v/>
      </c>
      <c r="O152" s="50">
        <f>IF(A152="","",N152*0.25)</f>
        <v/>
      </c>
      <c r="P152" s="50">
        <f>IF(A152="","",N152-O152)</f>
        <v/>
      </c>
      <c r="Q152" s="50">
        <f>IF(A152="","",ROUND(B152*0.4+C152*0.1+D152*0.1+E152*0.1+IF(G152="Yes",5000,0)*0.1+F152*500*0.1+IF(H152="Yes",5000,0)*0.1,0))</f>
        <v/>
      </c>
      <c r="R152" s="46">
        <f>IF(A152="","",ROUND(Q152/1000,1))</f>
        <v/>
      </c>
      <c r="S152" s="46">
        <f>IF(A152="","",RANK(R152,$R$2:$R$500,0))</f>
        <v/>
      </c>
    </row>
    <row r="153" ht="22" customHeight="1">
      <c r="A153" s="48" t="n"/>
      <c r="B153" s="51" t="n"/>
      <c r="C153" s="51" t="n"/>
      <c r="D153" s="51" t="n"/>
      <c r="E153" s="51" t="n"/>
      <c r="F153" s="48" t="n"/>
      <c r="G153" s="48" t="n"/>
      <c r="H153" s="48" t="n"/>
      <c r="I153" s="51" t="n"/>
      <c r="J153" s="51" t="n"/>
      <c r="K153" s="51">
        <f>IF(A153="","",B153+C153)</f>
        <v/>
      </c>
      <c r="L153" s="51">
        <f>IF(A153="","",K153/12)</f>
        <v/>
      </c>
      <c r="M153" s="51">
        <f>IF(A153="","",K153/2080)</f>
        <v/>
      </c>
      <c r="N153" s="51">
        <f>IF(A153="","",B153+C153+D153+E153+I153+J153)</f>
        <v/>
      </c>
      <c r="O153" s="51">
        <f>IF(A153="","",N153*0.25)</f>
        <v/>
      </c>
      <c r="P153" s="51">
        <f>IF(A153="","",N153-O153)</f>
        <v/>
      </c>
      <c r="Q153" s="51">
        <f>IF(A153="","",ROUND(B153*0.4+C153*0.1+D153*0.1+E153*0.1+IF(G153="Yes",5000,0)*0.1+F153*500*0.1+IF(H153="Yes",5000,0)*0.1,0))</f>
        <v/>
      </c>
      <c r="R153" s="48">
        <f>IF(A153="","",ROUND(Q153/1000,1))</f>
        <v/>
      </c>
      <c r="S153" s="48">
        <f>IF(A153="","",RANK(R153,$R$2:$R$500,0))</f>
        <v/>
      </c>
    </row>
    <row r="154" ht="22" customHeight="1">
      <c r="A154" s="46" t="n"/>
      <c r="B154" s="50" t="n"/>
      <c r="C154" s="50" t="n"/>
      <c r="D154" s="50" t="n"/>
      <c r="E154" s="50" t="n"/>
      <c r="F154" s="46" t="n"/>
      <c r="G154" s="46" t="n"/>
      <c r="H154" s="46" t="n"/>
      <c r="I154" s="50" t="n"/>
      <c r="J154" s="50" t="n"/>
      <c r="K154" s="50">
        <f>IF(A154="","",B154+C154)</f>
        <v/>
      </c>
      <c r="L154" s="50">
        <f>IF(A154="","",K154/12)</f>
        <v/>
      </c>
      <c r="M154" s="50">
        <f>IF(A154="","",K154/2080)</f>
        <v/>
      </c>
      <c r="N154" s="50">
        <f>IF(A154="","",B154+C154+D154+E154+I154+J154)</f>
        <v/>
      </c>
      <c r="O154" s="50">
        <f>IF(A154="","",N154*0.25)</f>
        <v/>
      </c>
      <c r="P154" s="50">
        <f>IF(A154="","",N154-O154)</f>
        <v/>
      </c>
      <c r="Q154" s="50">
        <f>IF(A154="","",ROUND(B154*0.4+C154*0.1+D154*0.1+E154*0.1+IF(G154="Yes",5000,0)*0.1+F154*500*0.1+IF(H154="Yes",5000,0)*0.1,0))</f>
        <v/>
      </c>
      <c r="R154" s="46">
        <f>IF(A154="","",ROUND(Q154/1000,1))</f>
        <v/>
      </c>
      <c r="S154" s="46">
        <f>IF(A154="","",RANK(R154,$R$2:$R$500,0))</f>
        <v/>
      </c>
    </row>
    <row r="155" ht="22" customHeight="1">
      <c r="A155" s="48" t="n"/>
      <c r="B155" s="51" t="n"/>
      <c r="C155" s="51" t="n"/>
      <c r="D155" s="51" t="n"/>
      <c r="E155" s="51" t="n"/>
      <c r="F155" s="48" t="n"/>
      <c r="G155" s="48" t="n"/>
      <c r="H155" s="48" t="n"/>
      <c r="I155" s="51" t="n"/>
      <c r="J155" s="51" t="n"/>
      <c r="K155" s="51">
        <f>IF(A155="","",B155+C155)</f>
        <v/>
      </c>
      <c r="L155" s="51">
        <f>IF(A155="","",K155/12)</f>
        <v/>
      </c>
      <c r="M155" s="51">
        <f>IF(A155="","",K155/2080)</f>
        <v/>
      </c>
      <c r="N155" s="51">
        <f>IF(A155="","",B155+C155+D155+E155+I155+J155)</f>
        <v/>
      </c>
      <c r="O155" s="51">
        <f>IF(A155="","",N155*0.25)</f>
        <v/>
      </c>
      <c r="P155" s="51">
        <f>IF(A155="","",N155-O155)</f>
        <v/>
      </c>
      <c r="Q155" s="51">
        <f>IF(A155="","",ROUND(B155*0.4+C155*0.1+D155*0.1+E155*0.1+IF(G155="Yes",5000,0)*0.1+F155*500*0.1+IF(H155="Yes",5000,0)*0.1,0))</f>
        <v/>
      </c>
      <c r="R155" s="48">
        <f>IF(A155="","",ROUND(Q155/1000,1))</f>
        <v/>
      </c>
      <c r="S155" s="48">
        <f>IF(A155="","",RANK(R155,$R$2:$R$500,0))</f>
        <v/>
      </c>
    </row>
    <row r="156" ht="22" customHeight="1">
      <c r="A156" s="46" t="n"/>
      <c r="B156" s="50" t="n"/>
      <c r="C156" s="50" t="n"/>
      <c r="D156" s="50" t="n"/>
      <c r="E156" s="50" t="n"/>
      <c r="F156" s="46" t="n"/>
      <c r="G156" s="46" t="n"/>
      <c r="H156" s="46" t="n"/>
      <c r="I156" s="50" t="n"/>
      <c r="J156" s="50" t="n"/>
      <c r="K156" s="50">
        <f>IF(A156="","",B156+C156)</f>
        <v/>
      </c>
      <c r="L156" s="50">
        <f>IF(A156="","",K156/12)</f>
        <v/>
      </c>
      <c r="M156" s="50">
        <f>IF(A156="","",K156/2080)</f>
        <v/>
      </c>
      <c r="N156" s="50">
        <f>IF(A156="","",B156+C156+D156+E156+I156+J156)</f>
        <v/>
      </c>
      <c r="O156" s="50">
        <f>IF(A156="","",N156*0.25)</f>
        <v/>
      </c>
      <c r="P156" s="50">
        <f>IF(A156="","",N156-O156)</f>
        <v/>
      </c>
      <c r="Q156" s="50">
        <f>IF(A156="","",ROUND(B156*0.4+C156*0.1+D156*0.1+E156*0.1+IF(G156="Yes",5000,0)*0.1+F156*500*0.1+IF(H156="Yes",5000,0)*0.1,0))</f>
        <v/>
      </c>
      <c r="R156" s="46">
        <f>IF(A156="","",ROUND(Q156/1000,1))</f>
        <v/>
      </c>
      <c r="S156" s="46">
        <f>IF(A156="","",RANK(R156,$R$2:$R$500,0))</f>
        <v/>
      </c>
    </row>
    <row r="157" ht="22" customHeight="1">
      <c r="A157" s="48" t="n"/>
      <c r="B157" s="51" t="n"/>
      <c r="C157" s="51" t="n"/>
      <c r="D157" s="51" t="n"/>
      <c r="E157" s="51" t="n"/>
      <c r="F157" s="48" t="n"/>
      <c r="G157" s="48" t="n"/>
      <c r="H157" s="48" t="n"/>
      <c r="I157" s="51" t="n"/>
      <c r="J157" s="51" t="n"/>
      <c r="K157" s="51">
        <f>IF(A157="","",B157+C157)</f>
        <v/>
      </c>
      <c r="L157" s="51">
        <f>IF(A157="","",K157/12)</f>
        <v/>
      </c>
      <c r="M157" s="51">
        <f>IF(A157="","",K157/2080)</f>
        <v/>
      </c>
      <c r="N157" s="51">
        <f>IF(A157="","",B157+C157+D157+E157+I157+J157)</f>
        <v/>
      </c>
      <c r="O157" s="51">
        <f>IF(A157="","",N157*0.25)</f>
        <v/>
      </c>
      <c r="P157" s="51">
        <f>IF(A157="","",N157-O157)</f>
        <v/>
      </c>
      <c r="Q157" s="51">
        <f>IF(A157="","",ROUND(B157*0.4+C157*0.1+D157*0.1+E157*0.1+IF(G157="Yes",5000,0)*0.1+F157*500*0.1+IF(H157="Yes",5000,0)*0.1,0))</f>
        <v/>
      </c>
      <c r="R157" s="48">
        <f>IF(A157="","",ROUND(Q157/1000,1))</f>
        <v/>
      </c>
      <c r="S157" s="48">
        <f>IF(A157="","",RANK(R157,$R$2:$R$500,0))</f>
        <v/>
      </c>
    </row>
    <row r="158" ht="22" customHeight="1">
      <c r="A158" s="46" t="n"/>
      <c r="B158" s="50" t="n"/>
      <c r="C158" s="50" t="n"/>
      <c r="D158" s="50" t="n"/>
      <c r="E158" s="50" t="n"/>
      <c r="F158" s="46" t="n"/>
      <c r="G158" s="46" t="n"/>
      <c r="H158" s="46" t="n"/>
      <c r="I158" s="50" t="n"/>
      <c r="J158" s="50" t="n"/>
      <c r="K158" s="50">
        <f>IF(A158="","",B158+C158)</f>
        <v/>
      </c>
      <c r="L158" s="50">
        <f>IF(A158="","",K158/12)</f>
        <v/>
      </c>
      <c r="M158" s="50">
        <f>IF(A158="","",K158/2080)</f>
        <v/>
      </c>
      <c r="N158" s="50">
        <f>IF(A158="","",B158+C158+D158+E158+I158+J158)</f>
        <v/>
      </c>
      <c r="O158" s="50">
        <f>IF(A158="","",N158*0.25)</f>
        <v/>
      </c>
      <c r="P158" s="50">
        <f>IF(A158="","",N158-O158)</f>
        <v/>
      </c>
      <c r="Q158" s="50">
        <f>IF(A158="","",ROUND(B158*0.4+C158*0.1+D158*0.1+E158*0.1+IF(G158="Yes",5000,0)*0.1+F158*500*0.1+IF(H158="Yes",5000,0)*0.1,0))</f>
        <v/>
      </c>
      <c r="R158" s="46">
        <f>IF(A158="","",ROUND(Q158/1000,1))</f>
        <v/>
      </c>
      <c r="S158" s="46">
        <f>IF(A158="","",RANK(R158,$R$2:$R$500,0))</f>
        <v/>
      </c>
    </row>
    <row r="159" ht="22" customHeight="1">
      <c r="A159" s="48" t="n"/>
      <c r="B159" s="51" t="n"/>
      <c r="C159" s="51" t="n"/>
      <c r="D159" s="51" t="n"/>
      <c r="E159" s="51" t="n"/>
      <c r="F159" s="48" t="n"/>
      <c r="G159" s="48" t="n"/>
      <c r="H159" s="48" t="n"/>
      <c r="I159" s="51" t="n"/>
      <c r="J159" s="51" t="n"/>
      <c r="K159" s="51">
        <f>IF(A159="","",B159+C159)</f>
        <v/>
      </c>
      <c r="L159" s="51">
        <f>IF(A159="","",K159/12)</f>
        <v/>
      </c>
      <c r="M159" s="51">
        <f>IF(A159="","",K159/2080)</f>
        <v/>
      </c>
      <c r="N159" s="51">
        <f>IF(A159="","",B159+C159+D159+E159+I159+J159)</f>
        <v/>
      </c>
      <c r="O159" s="51">
        <f>IF(A159="","",N159*0.25)</f>
        <v/>
      </c>
      <c r="P159" s="51">
        <f>IF(A159="","",N159-O159)</f>
        <v/>
      </c>
      <c r="Q159" s="51">
        <f>IF(A159="","",ROUND(B159*0.4+C159*0.1+D159*0.1+E159*0.1+IF(G159="Yes",5000,0)*0.1+F159*500*0.1+IF(H159="Yes",5000,0)*0.1,0))</f>
        <v/>
      </c>
      <c r="R159" s="48">
        <f>IF(A159="","",ROUND(Q159/1000,1))</f>
        <v/>
      </c>
      <c r="S159" s="48">
        <f>IF(A159="","",RANK(R159,$R$2:$R$500,0))</f>
        <v/>
      </c>
    </row>
    <row r="160" ht="22" customHeight="1">
      <c r="A160" s="46" t="n"/>
      <c r="B160" s="50" t="n"/>
      <c r="C160" s="50" t="n"/>
      <c r="D160" s="50" t="n"/>
      <c r="E160" s="50" t="n"/>
      <c r="F160" s="46" t="n"/>
      <c r="G160" s="46" t="n"/>
      <c r="H160" s="46" t="n"/>
      <c r="I160" s="50" t="n"/>
      <c r="J160" s="50" t="n"/>
      <c r="K160" s="50">
        <f>IF(A160="","",B160+C160)</f>
        <v/>
      </c>
      <c r="L160" s="50">
        <f>IF(A160="","",K160/12)</f>
        <v/>
      </c>
      <c r="M160" s="50">
        <f>IF(A160="","",K160/2080)</f>
        <v/>
      </c>
      <c r="N160" s="50">
        <f>IF(A160="","",B160+C160+D160+E160+I160+J160)</f>
        <v/>
      </c>
      <c r="O160" s="50">
        <f>IF(A160="","",N160*0.25)</f>
        <v/>
      </c>
      <c r="P160" s="50">
        <f>IF(A160="","",N160-O160)</f>
        <v/>
      </c>
      <c r="Q160" s="50">
        <f>IF(A160="","",ROUND(B160*0.4+C160*0.1+D160*0.1+E160*0.1+IF(G160="Yes",5000,0)*0.1+F160*500*0.1+IF(H160="Yes",5000,0)*0.1,0))</f>
        <v/>
      </c>
      <c r="R160" s="46">
        <f>IF(A160="","",ROUND(Q160/1000,1))</f>
        <v/>
      </c>
      <c r="S160" s="46">
        <f>IF(A160="","",RANK(R160,$R$2:$R$500,0))</f>
        <v/>
      </c>
    </row>
    <row r="161" ht="22" customHeight="1">
      <c r="A161" s="48" t="n"/>
      <c r="B161" s="51" t="n"/>
      <c r="C161" s="51" t="n"/>
      <c r="D161" s="51" t="n"/>
      <c r="E161" s="51" t="n"/>
      <c r="F161" s="48" t="n"/>
      <c r="G161" s="48" t="n"/>
      <c r="H161" s="48" t="n"/>
      <c r="I161" s="51" t="n"/>
      <c r="J161" s="51" t="n"/>
      <c r="K161" s="51">
        <f>IF(A161="","",B161+C161)</f>
        <v/>
      </c>
      <c r="L161" s="51">
        <f>IF(A161="","",K161/12)</f>
        <v/>
      </c>
      <c r="M161" s="51">
        <f>IF(A161="","",K161/2080)</f>
        <v/>
      </c>
      <c r="N161" s="51">
        <f>IF(A161="","",B161+C161+D161+E161+I161+J161)</f>
        <v/>
      </c>
      <c r="O161" s="51">
        <f>IF(A161="","",N161*0.25)</f>
        <v/>
      </c>
      <c r="P161" s="51">
        <f>IF(A161="","",N161-O161)</f>
        <v/>
      </c>
      <c r="Q161" s="51">
        <f>IF(A161="","",ROUND(B161*0.4+C161*0.1+D161*0.1+E161*0.1+IF(G161="Yes",5000,0)*0.1+F161*500*0.1+IF(H161="Yes",5000,0)*0.1,0))</f>
        <v/>
      </c>
      <c r="R161" s="48">
        <f>IF(A161="","",ROUND(Q161/1000,1))</f>
        <v/>
      </c>
      <c r="S161" s="48">
        <f>IF(A161="","",RANK(R161,$R$2:$R$500,0))</f>
        <v/>
      </c>
    </row>
    <row r="162" ht="22" customHeight="1">
      <c r="A162" s="46" t="n"/>
      <c r="B162" s="50" t="n"/>
      <c r="C162" s="50" t="n"/>
      <c r="D162" s="50" t="n"/>
      <c r="E162" s="50" t="n"/>
      <c r="F162" s="46" t="n"/>
      <c r="G162" s="46" t="n"/>
      <c r="H162" s="46" t="n"/>
      <c r="I162" s="50" t="n"/>
      <c r="J162" s="50" t="n"/>
      <c r="K162" s="50">
        <f>IF(A162="","",B162+C162)</f>
        <v/>
      </c>
      <c r="L162" s="50">
        <f>IF(A162="","",K162/12)</f>
        <v/>
      </c>
      <c r="M162" s="50">
        <f>IF(A162="","",K162/2080)</f>
        <v/>
      </c>
      <c r="N162" s="50">
        <f>IF(A162="","",B162+C162+D162+E162+I162+J162)</f>
        <v/>
      </c>
      <c r="O162" s="50">
        <f>IF(A162="","",N162*0.25)</f>
        <v/>
      </c>
      <c r="P162" s="50">
        <f>IF(A162="","",N162-O162)</f>
        <v/>
      </c>
      <c r="Q162" s="50">
        <f>IF(A162="","",ROUND(B162*0.4+C162*0.1+D162*0.1+E162*0.1+IF(G162="Yes",5000,0)*0.1+F162*500*0.1+IF(H162="Yes",5000,0)*0.1,0))</f>
        <v/>
      </c>
      <c r="R162" s="46">
        <f>IF(A162="","",ROUND(Q162/1000,1))</f>
        <v/>
      </c>
      <c r="S162" s="46">
        <f>IF(A162="","",RANK(R162,$R$2:$R$500,0))</f>
        <v/>
      </c>
    </row>
    <row r="163" ht="22" customHeight="1">
      <c r="A163" s="48" t="n"/>
      <c r="B163" s="51" t="n"/>
      <c r="C163" s="51" t="n"/>
      <c r="D163" s="51" t="n"/>
      <c r="E163" s="51" t="n"/>
      <c r="F163" s="48" t="n"/>
      <c r="G163" s="48" t="n"/>
      <c r="H163" s="48" t="n"/>
      <c r="I163" s="51" t="n"/>
      <c r="J163" s="51" t="n"/>
      <c r="K163" s="51">
        <f>IF(A163="","",B163+C163)</f>
        <v/>
      </c>
      <c r="L163" s="51">
        <f>IF(A163="","",K163/12)</f>
        <v/>
      </c>
      <c r="M163" s="51">
        <f>IF(A163="","",K163/2080)</f>
        <v/>
      </c>
      <c r="N163" s="51">
        <f>IF(A163="","",B163+C163+D163+E163+I163+J163)</f>
        <v/>
      </c>
      <c r="O163" s="51">
        <f>IF(A163="","",N163*0.25)</f>
        <v/>
      </c>
      <c r="P163" s="51">
        <f>IF(A163="","",N163-O163)</f>
        <v/>
      </c>
      <c r="Q163" s="51">
        <f>IF(A163="","",ROUND(B163*0.4+C163*0.1+D163*0.1+E163*0.1+IF(G163="Yes",5000,0)*0.1+F163*500*0.1+IF(H163="Yes",5000,0)*0.1,0))</f>
        <v/>
      </c>
      <c r="R163" s="48">
        <f>IF(A163="","",ROUND(Q163/1000,1))</f>
        <v/>
      </c>
      <c r="S163" s="48">
        <f>IF(A163="","",RANK(R163,$R$2:$R$500,0))</f>
        <v/>
      </c>
    </row>
    <row r="164" ht="22" customHeight="1">
      <c r="A164" s="46" t="n"/>
      <c r="B164" s="50" t="n"/>
      <c r="C164" s="50" t="n"/>
      <c r="D164" s="50" t="n"/>
      <c r="E164" s="50" t="n"/>
      <c r="F164" s="46" t="n"/>
      <c r="G164" s="46" t="n"/>
      <c r="H164" s="46" t="n"/>
      <c r="I164" s="50" t="n"/>
      <c r="J164" s="50" t="n"/>
      <c r="K164" s="50">
        <f>IF(A164="","",B164+C164)</f>
        <v/>
      </c>
      <c r="L164" s="50">
        <f>IF(A164="","",K164/12)</f>
        <v/>
      </c>
      <c r="M164" s="50">
        <f>IF(A164="","",K164/2080)</f>
        <v/>
      </c>
      <c r="N164" s="50">
        <f>IF(A164="","",B164+C164+D164+E164+I164+J164)</f>
        <v/>
      </c>
      <c r="O164" s="50">
        <f>IF(A164="","",N164*0.25)</f>
        <v/>
      </c>
      <c r="P164" s="50">
        <f>IF(A164="","",N164-O164)</f>
        <v/>
      </c>
      <c r="Q164" s="50">
        <f>IF(A164="","",ROUND(B164*0.4+C164*0.1+D164*0.1+E164*0.1+IF(G164="Yes",5000,0)*0.1+F164*500*0.1+IF(H164="Yes",5000,0)*0.1,0))</f>
        <v/>
      </c>
      <c r="R164" s="46">
        <f>IF(A164="","",ROUND(Q164/1000,1))</f>
        <v/>
      </c>
      <c r="S164" s="46">
        <f>IF(A164="","",RANK(R164,$R$2:$R$500,0))</f>
        <v/>
      </c>
    </row>
    <row r="165" ht="22" customHeight="1">
      <c r="A165" s="48" t="n"/>
      <c r="B165" s="51" t="n"/>
      <c r="C165" s="51" t="n"/>
      <c r="D165" s="51" t="n"/>
      <c r="E165" s="51" t="n"/>
      <c r="F165" s="48" t="n"/>
      <c r="G165" s="48" t="n"/>
      <c r="H165" s="48" t="n"/>
      <c r="I165" s="51" t="n"/>
      <c r="J165" s="51" t="n"/>
      <c r="K165" s="51">
        <f>IF(A165="","",B165+C165)</f>
        <v/>
      </c>
      <c r="L165" s="51">
        <f>IF(A165="","",K165/12)</f>
        <v/>
      </c>
      <c r="M165" s="51">
        <f>IF(A165="","",K165/2080)</f>
        <v/>
      </c>
      <c r="N165" s="51">
        <f>IF(A165="","",B165+C165+D165+E165+I165+J165)</f>
        <v/>
      </c>
      <c r="O165" s="51">
        <f>IF(A165="","",N165*0.25)</f>
        <v/>
      </c>
      <c r="P165" s="51">
        <f>IF(A165="","",N165-O165)</f>
        <v/>
      </c>
      <c r="Q165" s="51">
        <f>IF(A165="","",ROUND(B165*0.4+C165*0.1+D165*0.1+E165*0.1+IF(G165="Yes",5000,0)*0.1+F165*500*0.1+IF(H165="Yes",5000,0)*0.1,0))</f>
        <v/>
      </c>
      <c r="R165" s="48">
        <f>IF(A165="","",ROUND(Q165/1000,1))</f>
        <v/>
      </c>
      <c r="S165" s="48">
        <f>IF(A165="","",RANK(R165,$R$2:$R$500,0))</f>
        <v/>
      </c>
    </row>
    <row r="166" ht="22" customHeight="1">
      <c r="A166" s="46" t="n"/>
      <c r="B166" s="50" t="n"/>
      <c r="C166" s="50" t="n"/>
      <c r="D166" s="50" t="n"/>
      <c r="E166" s="50" t="n"/>
      <c r="F166" s="46" t="n"/>
      <c r="G166" s="46" t="n"/>
      <c r="H166" s="46" t="n"/>
      <c r="I166" s="50" t="n"/>
      <c r="J166" s="50" t="n"/>
      <c r="K166" s="50">
        <f>IF(A166="","",B166+C166)</f>
        <v/>
      </c>
      <c r="L166" s="50">
        <f>IF(A166="","",K166/12)</f>
        <v/>
      </c>
      <c r="M166" s="50">
        <f>IF(A166="","",K166/2080)</f>
        <v/>
      </c>
      <c r="N166" s="50">
        <f>IF(A166="","",B166+C166+D166+E166+I166+J166)</f>
        <v/>
      </c>
      <c r="O166" s="50">
        <f>IF(A166="","",N166*0.25)</f>
        <v/>
      </c>
      <c r="P166" s="50">
        <f>IF(A166="","",N166-O166)</f>
        <v/>
      </c>
      <c r="Q166" s="50">
        <f>IF(A166="","",ROUND(B166*0.4+C166*0.1+D166*0.1+E166*0.1+IF(G166="Yes",5000,0)*0.1+F166*500*0.1+IF(H166="Yes",5000,0)*0.1,0))</f>
        <v/>
      </c>
      <c r="R166" s="46">
        <f>IF(A166="","",ROUND(Q166/1000,1))</f>
        <v/>
      </c>
      <c r="S166" s="46">
        <f>IF(A166="","",RANK(R166,$R$2:$R$500,0))</f>
        <v/>
      </c>
    </row>
    <row r="167" ht="22" customHeight="1">
      <c r="A167" s="48" t="n"/>
      <c r="B167" s="51" t="n"/>
      <c r="C167" s="51" t="n"/>
      <c r="D167" s="51" t="n"/>
      <c r="E167" s="51" t="n"/>
      <c r="F167" s="48" t="n"/>
      <c r="G167" s="48" t="n"/>
      <c r="H167" s="48" t="n"/>
      <c r="I167" s="51" t="n"/>
      <c r="J167" s="51" t="n"/>
      <c r="K167" s="51">
        <f>IF(A167="","",B167+C167)</f>
        <v/>
      </c>
      <c r="L167" s="51">
        <f>IF(A167="","",K167/12)</f>
        <v/>
      </c>
      <c r="M167" s="51">
        <f>IF(A167="","",K167/2080)</f>
        <v/>
      </c>
      <c r="N167" s="51">
        <f>IF(A167="","",B167+C167+D167+E167+I167+J167)</f>
        <v/>
      </c>
      <c r="O167" s="51">
        <f>IF(A167="","",N167*0.25)</f>
        <v/>
      </c>
      <c r="P167" s="51">
        <f>IF(A167="","",N167-O167)</f>
        <v/>
      </c>
      <c r="Q167" s="51">
        <f>IF(A167="","",ROUND(B167*0.4+C167*0.1+D167*0.1+E167*0.1+IF(G167="Yes",5000,0)*0.1+F167*500*0.1+IF(H167="Yes",5000,0)*0.1,0))</f>
        <v/>
      </c>
      <c r="R167" s="48">
        <f>IF(A167="","",ROUND(Q167/1000,1))</f>
        <v/>
      </c>
      <c r="S167" s="48">
        <f>IF(A167="","",RANK(R167,$R$2:$R$500,0))</f>
        <v/>
      </c>
    </row>
    <row r="168" ht="22" customHeight="1">
      <c r="A168" s="46" t="n"/>
      <c r="B168" s="50" t="n"/>
      <c r="C168" s="50" t="n"/>
      <c r="D168" s="50" t="n"/>
      <c r="E168" s="50" t="n"/>
      <c r="F168" s="46" t="n"/>
      <c r="G168" s="46" t="n"/>
      <c r="H168" s="46" t="n"/>
      <c r="I168" s="50" t="n"/>
      <c r="J168" s="50" t="n"/>
      <c r="K168" s="50">
        <f>IF(A168="","",B168+C168)</f>
        <v/>
      </c>
      <c r="L168" s="50">
        <f>IF(A168="","",K168/12)</f>
        <v/>
      </c>
      <c r="M168" s="50">
        <f>IF(A168="","",K168/2080)</f>
        <v/>
      </c>
      <c r="N168" s="50">
        <f>IF(A168="","",B168+C168+D168+E168+I168+J168)</f>
        <v/>
      </c>
      <c r="O168" s="50">
        <f>IF(A168="","",N168*0.25)</f>
        <v/>
      </c>
      <c r="P168" s="50">
        <f>IF(A168="","",N168-O168)</f>
        <v/>
      </c>
      <c r="Q168" s="50">
        <f>IF(A168="","",ROUND(B168*0.4+C168*0.1+D168*0.1+E168*0.1+IF(G168="Yes",5000,0)*0.1+F168*500*0.1+IF(H168="Yes",5000,0)*0.1,0))</f>
        <v/>
      </c>
      <c r="R168" s="46">
        <f>IF(A168="","",ROUND(Q168/1000,1))</f>
        <v/>
      </c>
      <c r="S168" s="46">
        <f>IF(A168="","",RANK(R168,$R$2:$R$500,0))</f>
        <v/>
      </c>
    </row>
    <row r="169" ht="22" customHeight="1">
      <c r="A169" s="48" t="n"/>
      <c r="B169" s="51" t="n"/>
      <c r="C169" s="51" t="n"/>
      <c r="D169" s="51" t="n"/>
      <c r="E169" s="51" t="n"/>
      <c r="F169" s="48" t="n"/>
      <c r="G169" s="48" t="n"/>
      <c r="H169" s="48" t="n"/>
      <c r="I169" s="51" t="n"/>
      <c r="J169" s="51" t="n"/>
      <c r="K169" s="51">
        <f>IF(A169="","",B169+C169)</f>
        <v/>
      </c>
      <c r="L169" s="51">
        <f>IF(A169="","",K169/12)</f>
        <v/>
      </c>
      <c r="M169" s="51">
        <f>IF(A169="","",K169/2080)</f>
        <v/>
      </c>
      <c r="N169" s="51">
        <f>IF(A169="","",B169+C169+D169+E169+I169+J169)</f>
        <v/>
      </c>
      <c r="O169" s="51">
        <f>IF(A169="","",N169*0.25)</f>
        <v/>
      </c>
      <c r="P169" s="51">
        <f>IF(A169="","",N169-O169)</f>
        <v/>
      </c>
      <c r="Q169" s="51">
        <f>IF(A169="","",ROUND(B169*0.4+C169*0.1+D169*0.1+E169*0.1+IF(G169="Yes",5000,0)*0.1+F169*500*0.1+IF(H169="Yes",5000,0)*0.1,0))</f>
        <v/>
      </c>
      <c r="R169" s="48">
        <f>IF(A169="","",ROUND(Q169/1000,1))</f>
        <v/>
      </c>
      <c r="S169" s="48">
        <f>IF(A169="","",RANK(R169,$R$2:$R$500,0))</f>
        <v/>
      </c>
    </row>
    <row r="170" ht="22" customHeight="1">
      <c r="A170" s="46" t="n"/>
      <c r="B170" s="50" t="n"/>
      <c r="C170" s="50" t="n"/>
      <c r="D170" s="50" t="n"/>
      <c r="E170" s="50" t="n"/>
      <c r="F170" s="46" t="n"/>
      <c r="G170" s="46" t="n"/>
      <c r="H170" s="46" t="n"/>
      <c r="I170" s="50" t="n"/>
      <c r="J170" s="50" t="n"/>
      <c r="K170" s="50">
        <f>IF(A170="","",B170+C170)</f>
        <v/>
      </c>
      <c r="L170" s="50">
        <f>IF(A170="","",K170/12)</f>
        <v/>
      </c>
      <c r="M170" s="50">
        <f>IF(A170="","",K170/2080)</f>
        <v/>
      </c>
      <c r="N170" s="50">
        <f>IF(A170="","",B170+C170+D170+E170+I170+J170)</f>
        <v/>
      </c>
      <c r="O170" s="50">
        <f>IF(A170="","",N170*0.25)</f>
        <v/>
      </c>
      <c r="P170" s="50">
        <f>IF(A170="","",N170-O170)</f>
        <v/>
      </c>
      <c r="Q170" s="50">
        <f>IF(A170="","",ROUND(B170*0.4+C170*0.1+D170*0.1+E170*0.1+IF(G170="Yes",5000,0)*0.1+F170*500*0.1+IF(H170="Yes",5000,0)*0.1,0))</f>
        <v/>
      </c>
      <c r="R170" s="46">
        <f>IF(A170="","",ROUND(Q170/1000,1))</f>
        <v/>
      </c>
      <c r="S170" s="46">
        <f>IF(A170="","",RANK(R170,$R$2:$R$500,0))</f>
        <v/>
      </c>
    </row>
    <row r="171" ht="22" customHeight="1">
      <c r="A171" s="48" t="n"/>
      <c r="B171" s="51" t="n"/>
      <c r="C171" s="51" t="n"/>
      <c r="D171" s="51" t="n"/>
      <c r="E171" s="51" t="n"/>
      <c r="F171" s="48" t="n"/>
      <c r="G171" s="48" t="n"/>
      <c r="H171" s="48" t="n"/>
      <c r="I171" s="51" t="n"/>
      <c r="J171" s="51" t="n"/>
      <c r="K171" s="51">
        <f>IF(A171="","",B171+C171)</f>
        <v/>
      </c>
      <c r="L171" s="51">
        <f>IF(A171="","",K171/12)</f>
        <v/>
      </c>
      <c r="M171" s="51">
        <f>IF(A171="","",K171/2080)</f>
        <v/>
      </c>
      <c r="N171" s="51">
        <f>IF(A171="","",B171+C171+D171+E171+I171+J171)</f>
        <v/>
      </c>
      <c r="O171" s="51">
        <f>IF(A171="","",N171*0.25)</f>
        <v/>
      </c>
      <c r="P171" s="51">
        <f>IF(A171="","",N171-O171)</f>
        <v/>
      </c>
      <c r="Q171" s="51">
        <f>IF(A171="","",ROUND(B171*0.4+C171*0.1+D171*0.1+E171*0.1+IF(G171="Yes",5000,0)*0.1+F171*500*0.1+IF(H171="Yes",5000,0)*0.1,0))</f>
        <v/>
      </c>
      <c r="R171" s="48">
        <f>IF(A171="","",ROUND(Q171/1000,1))</f>
        <v/>
      </c>
      <c r="S171" s="48">
        <f>IF(A171="","",RANK(R171,$R$2:$R$500,0))</f>
        <v/>
      </c>
    </row>
    <row r="172" ht="22" customHeight="1">
      <c r="A172" s="46" t="n"/>
      <c r="B172" s="50" t="n"/>
      <c r="C172" s="50" t="n"/>
      <c r="D172" s="50" t="n"/>
      <c r="E172" s="50" t="n"/>
      <c r="F172" s="46" t="n"/>
      <c r="G172" s="46" t="n"/>
      <c r="H172" s="46" t="n"/>
      <c r="I172" s="50" t="n"/>
      <c r="J172" s="50" t="n"/>
      <c r="K172" s="50">
        <f>IF(A172="","",B172+C172)</f>
        <v/>
      </c>
      <c r="L172" s="50">
        <f>IF(A172="","",K172/12)</f>
        <v/>
      </c>
      <c r="M172" s="50">
        <f>IF(A172="","",K172/2080)</f>
        <v/>
      </c>
      <c r="N172" s="50">
        <f>IF(A172="","",B172+C172+D172+E172+I172+J172)</f>
        <v/>
      </c>
      <c r="O172" s="50">
        <f>IF(A172="","",N172*0.25)</f>
        <v/>
      </c>
      <c r="P172" s="50">
        <f>IF(A172="","",N172-O172)</f>
        <v/>
      </c>
      <c r="Q172" s="50">
        <f>IF(A172="","",ROUND(B172*0.4+C172*0.1+D172*0.1+E172*0.1+IF(G172="Yes",5000,0)*0.1+F172*500*0.1+IF(H172="Yes",5000,0)*0.1,0))</f>
        <v/>
      </c>
      <c r="R172" s="46">
        <f>IF(A172="","",ROUND(Q172/1000,1))</f>
        <v/>
      </c>
      <c r="S172" s="46">
        <f>IF(A172="","",RANK(R172,$R$2:$R$500,0))</f>
        <v/>
      </c>
    </row>
    <row r="173" ht="22" customHeight="1">
      <c r="A173" s="48" t="n"/>
      <c r="B173" s="51" t="n"/>
      <c r="C173" s="51" t="n"/>
      <c r="D173" s="51" t="n"/>
      <c r="E173" s="51" t="n"/>
      <c r="F173" s="48" t="n"/>
      <c r="G173" s="48" t="n"/>
      <c r="H173" s="48" t="n"/>
      <c r="I173" s="51" t="n"/>
      <c r="J173" s="51" t="n"/>
      <c r="K173" s="51">
        <f>IF(A173="","",B173+C173)</f>
        <v/>
      </c>
      <c r="L173" s="51">
        <f>IF(A173="","",K173/12)</f>
        <v/>
      </c>
      <c r="M173" s="51">
        <f>IF(A173="","",K173/2080)</f>
        <v/>
      </c>
      <c r="N173" s="51">
        <f>IF(A173="","",B173+C173+D173+E173+I173+J173)</f>
        <v/>
      </c>
      <c r="O173" s="51">
        <f>IF(A173="","",N173*0.25)</f>
        <v/>
      </c>
      <c r="P173" s="51">
        <f>IF(A173="","",N173-O173)</f>
        <v/>
      </c>
      <c r="Q173" s="51">
        <f>IF(A173="","",ROUND(B173*0.4+C173*0.1+D173*0.1+E173*0.1+IF(G173="Yes",5000,0)*0.1+F173*500*0.1+IF(H173="Yes",5000,0)*0.1,0))</f>
        <v/>
      </c>
      <c r="R173" s="48">
        <f>IF(A173="","",ROUND(Q173/1000,1))</f>
        <v/>
      </c>
      <c r="S173" s="48">
        <f>IF(A173="","",RANK(R173,$R$2:$R$500,0))</f>
        <v/>
      </c>
    </row>
    <row r="174" ht="22" customHeight="1">
      <c r="A174" s="46" t="n"/>
      <c r="B174" s="50" t="n"/>
      <c r="C174" s="50" t="n"/>
      <c r="D174" s="50" t="n"/>
      <c r="E174" s="50" t="n"/>
      <c r="F174" s="46" t="n"/>
      <c r="G174" s="46" t="n"/>
      <c r="H174" s="46" t="n"/>
      <c r="I174" s="50" t="n"/>
      <c r="J174" s="50" t="n"/>
      <c r="K174" s="50">
        <f>IF(A174="","",B174+C174)</f>
        <v/>
      </c>
      <c r="L174" s="50">
        <f>IF(A174="","",K174/12)</f>
        <v/>
      </c>
      <c r="M174" s="50">
        <f>IF(A174="","",K174/2080)</f>
        <v/>
      </c>
      <c r="N174" s="50">
        <f>IF(A174="","",B174+C174+D174+E174+I174+J174)</f>
        <v/>
      </c>
      <c r="O174" s="50">
        <f>IF(A174="","",N174*0.25)</f>
        <v/>
      </c>
      <c r="P174" s="50">
        <f>IF(A174="","",N174-O174)</f>
        <v/>
      </c>
      <c r="Q174" s="50">
        <f>IF(A174="","",ROUND(B174*0.4+C174*0.1+D174*0.1+E174*0.1+IF(G174="Yes",5000,0)*0.1+F174*500*0.1+IF(H174="Yes",5000,0)*0.1,0))</f>
        <v/>
      </c>
      <c r="R174" s="46">
        <f>IF(A174="","",ROUND(Q174/1000,1))</f>
        <v/>
      </c>
      <c r="S174" s="46">
        <f>IF(A174="","",RANK(R174,$R$2:$R$500,0))</f>
        <v/>
      </c>
    </row>
    <row r="175" ht="22" customHeight="1">
      <c r="A175" s="48" t="n"/>
      <c r="B175" s="51" t="n"/>
      <c r="C175" s="51" t="n"/>
      <c r="D175" s="51" t="n"/>
      <c r="E175" s="51" t="n"/>
      <c r="F175" s="48" t="n"/>
      <c r="G175" s="48" t="n"/>
      <c r="H175" s="48" t="n"/>
      <c r="I175" s="51" t="n"/>
      <c r="J175" s="51" t="n"/>
      <c r="K175" s="51">
        <f>IF(A175="","",B175+C175)</f>
        <v/>
      </c>
      <c r="L175" s="51">
        <f>IF(A175="","",K175/12)</f>
        <v/>
      </c>
      <c r="M175" s="51">
        <f>IF(A175="","",K175/2080)</f>
        <v/>
      </c>
      <c r="N175" s="51">
        <f>IF(A175="","",B175+C175+D175+E175+I175+J175)</f>
        <v/>
      </c>
      <c r="O175" s="51">
        <f>IF(A175="","",N175*0.25)</f>
        <v/>
      </c>
      <c r="P175" s="51">
        <f>IF(A175="","",N175-O175)</f>
        <v/>
      </c>
      <c r="Q175" s="51">
        <f>IF(A175="","",ROUND(B175*0.4+C175*0.1+D175*0.1+E175*0.1+IF(G175="Yes",5000,0)*0.1+F175*500*0.1+IF(H175="Yes",5000,0)*0.1,0))</f>
        <v/>
      </c>
      <c r="R175" s="48">
        <f>IF(A175="","",ROUND(Q175/1000,1))</f>
        <v/>
      </c>
      <c r="S175" s="48">
        <f>IF(A175="","",RANK(R175,$R$2:$R$500,0))</f>
        <v/>
      </c>
    </row>
    <row r="176" ht="22" customHeight="1">
      <c r="A176" s="46" t="n"/>
      <c r="B176" s="50" t="n"/>
      <c r="C176" s="50" t="n"/>
      <c r="D176" s="50" t="n"/>
      <c r="E176" s="50" t="n"/>
      <c r="F176" s="46" t="n"/>
      <c r="G176" s="46" t="n"/>
      <c r="H176" s="46" t="n"/>
      <c r="I176" s="50" t="n"/>
      <c r="J176" s="50" t="n"/>
      <c r="K176" s="50">
        <f>IF(A176="","",B176+C176)</f>
        <v/>
      </c>
      <c r="L176" s="50">
        <f>IF(A176="","",K176/12)</f>
        <v/>
      </c>
      <c r="M176" s="50">
        <f>IF(A176="","",K176/2080)</f>
        <v/>
      </c>
      <c r="N176" s="50">
        <f>IF(A176="","",B176+C176+D176+E176+I176+J176)</f>
        <v/>
      </c>
      <c r="O176" s="50">
        <f>IF(A176="","",N176*0.25)</f>
        <v/>
      </c>
      <c r="P176" s="50">
        <f>IF(A176="","",N176-O176)</f>
        <v/>
      </c>
      <c r="Q176" s="50">
        <f>IF(A176="","",ROUND(B176*0.4+C176*0.1+D176*0.1+E176*0.1+IF(G176="Yes",5000,0)*0.1+F176*500*0.1+IF(H176="Yes",5000,0)*0.1,0))</f>
        <v/>
      </c>
      <c r="R176" s="46">
        <f>IF(A176="","",ROUND(Q176/1000,1))</f>
        <v/>
      </c>
      <c r="S176" s="46">
        <f>IF(A176="","",RANK(R176,$R$2:$R$500,0))</f>
        <v/>
      </c>
    </row>
    <row r="177" ht="22" customHeight="1">
      <c r="A177" s="48" t="n"/>
      <c r="B177" s="51" t="n"/>
      <c r="C177" s="51" t="n"/>
      <c r="D177" s="51" t="n"/>
      <c r="E177" s="51" t="n"/>
      <c r="F177" s="48" t="n"/>
      <c r="G177" s="48" t="n"/>
      <c r="H177" s="48" t="n"/>
      <c r="I177" s="51" t="n"/>
      <c r="J177" s="51" t="n"/>
      <c r="K177" s="51">
        <f>IF(A177="","",B177+C177)</f>
        <v/>
      </c>
      <c r="L177" s="51">
        <f>IF(A177="","",K177/12)</f>
        <v/>
      </c>
      <c r="M177" s="51">
        <f>IF(A177="","",K177/2080)</f>
        <v/>
      </c>
      <c r="N177" s="51">
        <f>IF(A177="","",B177+C177+D177+E177+I177+J177)</f>
        <v/>
      </c>
      <c r="O177" s="51">
        <f>IF(A177="","",N177*0.25)</f>
        <v/>
      </c>
      <c r="P177" s="51">
        <f>IF(A177="","",N177-O177)</f>
        <v/>
      </c>
      <c r="Q177" s="51">
        <f>IF(A177="","",ROUND(B177*0.4+C177*0.1+D177*0.1+E177*0.1+IF(G177="Yes",5000,0)*0.1+F177*500*0.1+IF(H177="Yes",5000,0)*0.1,0))</f>
        <v/>
      </c>
      <c r="R177" s="48">
        <f>IF(A177="","",ROUND(Q177/1000,1))</f>
        <v/>
      </c>
      <c r="S177" s="48">
        <f>IF(A177="","",RANK(R177,$R$2:$R$500,0))</f>
        <v/>
      </c>
    </row>
    <row r="178" ht="22" customHeight="1">
      <c r="A178" s="46" t="n"/>
      <c r="B178" s="50" t="n"/>
      <c r="C178" s="50" t="n"/>
      <c r="D178" s="50" t="n"/>
      <c r="E178" s="50" t="n"/>
      <c r="F178" s="46" t="n"/>
      <c r="G178" s="46" t="n"/>
      <c r="H178" s="46" t="n"/>
      <c r="I178" s="50" t="n"/>
      <c r="J178" s="50" t="n"/>
      <c r="K178" s="50">
        <f>IF(A178="","",B178+C178)</f>
        <v/>
      </c>
      <c r="L178" s="50">
        <f>IF(A178="","",K178/12)</f>
        <v/>
      </c>
      <c r="M178" s="50">
        <f>IF(A178="","",K178/2080)</f>
        <v/>
      </c>
      <c r="N178" s="50">
        <f>IF(A178="","",B178+C178+D178+E178+I178+J178)</f>
        <v/>
      </c>
      <c r="O178" s="50">
        <f>IF(A178="","",N178*0.25)</f>
        <v/>
      </c>
      <c r="P178" s="50">
        <f>IF(A178="","",N178-O178)</f>
        <v/>
      </c>
      <c r="Q178" s="50">
        <f>IF(A178="","",ROUND(B178*0.4+C178*0.1+D178*0.1+E178*0.1+IF(G178="Yes",5000,0)*0.1+F178*500*0.1+IF(H178="Yes",5000,0)*0.1,0))</f>
        <v/>
      </c>
      <c r="R178" s="46">
        <f>IF(A178="","",ROUND(Q178/1000,1))</f>
        <v/>
      </c>
      <c r="S178" s="46">
        <f>IF(A178="","",RANK(R178,$R$2:$R$500,0))</f>
        <v/>
      </c>
    </row>
    <row r="179" ht="22" customHeight="1">
      <c r="A179" s="48" t="n"/>
      <c r="B179" s="51" t="n"/>
      <c r="C179" s="51" t="n"/>
      <c r="D179" s="51" t="n"/>
      <c r="E179" s="51" t="n"/>
      <c r="F179" s="48" t="n"/>
      <c r="G179" s="48" t="n"/>
      <c r="H179" s="48" t="n"/>
      <c r="I179" s="51" t="n"/>
      <c r="J179" s="51" t="n"/>
      <c r="K179" s="51">
        <f>IF(A179="","",B179+C179)</f>
        <v/>
      </c>
      <c r="L179" s="51">
        <f>IF(A179="","",K179/12)</f>
        <v/>
      </c>
      <c r="M179" s="51">
        <f>IF(A179="","",K179/2080)</f>
        <v/>
      </c>
      <c r="N179" s="51">
        <f>IF(A179="","",B179+C179+D179+E179+I179+J179)</f>
        <v/>
      </c>
      <c r="O179" s="51">
        <f>IF(A179="","",N179*0.25)</f>
        <v/>
      </c>
      <c r="P179" s="51">
        <f>IF(A179="","",N179-O179)</f>
        <v/>
      </c>
      <c r="Q179" s="51">
        <f>IF(A179="","",ROUND(B179*0.4+C179*0.1+D179*0.1+E179*0.1+IF(G179="Yes",5000,0)*0.1+F179*500*0.1+IF(H179="Yes",5000,0)*0.1,0))</f>
        <v/>
      </c>
      <c r="R179" s="48">
        <f>IF(A179="","",ROUND(Q179/1000,1))</f>
        <v/>
      </c>
      <c r="S179" s="48">
        <f>IF(A179="","",RANK(R179,$R$2:$R$500,0))</f>
        <v/>
      </c>
    </row>
    <row r="180" ht="22" customHeight="1">
      <c r="A180" s="46" t="n"/>
      <c r="B180" s="50" t="n"/>
      <c r="C180" s="50" t="n"/>
      <c r="D180" s="50" t="n"/>
      <c r="E180" s="50" t="n"/>
      <c r="F180" s="46" t="n"/>
      <c r="G180" s="46" t="n"/>
      <c r="H180" s="46" t="n"/>
      <c r="I180" s="50" t="n"/>
      <c r="J180" s="50" t="n"/>
      <c r="K180" s="50">
        <f>IF(A180="","",B180+C180)</f>
        <v/>
      </c>
      <c r="L180" s="50">
        <f>IF(A180="","",K180/12)</f>
        <v/>
      </c>
      <c r="M180" s="50">
        <f>IF(A180="","",K180/2080)</f>
        <v/>
      </c>
      <c r="N180" s="50">
        <f>IF(A180="","",B180+C180+D180+E180+I180+J180)</f>
        <v/>
      </c>
      <c r="O180" s="50">
        <f>IF(A180="","",N180*0.25)</f>
        <v/>
      </c>
      <c r="P180" s="50">
        <f>IF(A180="","",N180-O180)</f>
        <v/>
      </c>
      <c r="Q180" s="50">
        <f>IF(A180="","",ROUND(B180*0.4+C180*0.1+D180*0.1+E180*0.1+IF(G180="Yes",5000,0)*0.1+F180*500*0.1+IF(H180="Yes",5000,0)*0.1,0))</f>
        <v/>
      </c>
      <c r="R180" s="46">
        <f>IF(A180="","",ROUND(Q180/1000,1))</f>
        <v/>
      </c>
      <c r="S180" s="46">
        <f>IF(A180="","",RANK(R180,$R$2:$R$500,0))</f>
        <v/>
      </c>
    </row>
    <row r="181" ht="22" customHeight="1">
      <c r="A181" s="48" t="n"/>
      <c r="B181" s="51" t="n"/>
      <c r="C181" s="51" t="n"/>
      <c r="D181" s="51" t="n"/>
      <c r="E181" s="51" t="n"/>
      <c r="F181" s="48" t="n"/>
      <c r="G181" s="48" t="n"/>
      <c r="H181" s="48" t="n"/>
      <c r="I181" s="51" t="n"/>
      <c r="J181" s="51" t="n"/>
      <c r="K181" s="51">
        <f>IF(A181="","",B181+C181)</f>
        <v/>
      </c>
      <c r="L181" s="51">
        <f>IF(A181="","",K181/12)</f>
        <v/>
      </c>
      <c r="M181" s="51">
        <f>IF(A181="","",K181/2080)</f>
        <v/>
      </c>
      <c r="N181" s="51">
        <f>IF(A181="","",B181+C181+D181+E181+I181+J181)</f>
        <v/>
      </c>
      <c r="O181" s="51">
        <f>IF(A181="","",N181*0.25)</f>
        <v/>
      </c>
      <c r="P181" s="51">
        <f>IF(A181="","",N181-O181)</f>
        <v/>
      </c>
      <c r="Q181" s="51">
        <f>IF(A181="","",ROUND(B181*0.4+C181*0.1+D181*0.1+E181*0.1+IF(G181="Yes",5000,0)*0.1+F181*500*0.1+IF(H181="Yes",5000,0)*0.1,0))</f>
        <v/>
      </c>
      <c r="R181" s="48">
        <f>IF(A181="","",ROUND(Q181/1000,1))</f>
        <v/>
      </c>
      <c r="S181" s="48">
        <f>IF(A181="","",RANK(R181,$R$2:$R$500,0))</f>
        <v/>
      </c>
    </row>
    <row r="182" ht="22" customHeight="1">
      <c r="A182" s="46" t="n"/>
      <c r="B182" s="50" t="n"/>
      <c r="C182" s="50" t="n"/>
      <c r="D182" s="50" t="n"/>
      <c r="E182" s="50" t="n"/>
      <c r="F182" s="46" t="n"/>
      <c r="G182" s="46" t="n"/>
      <c r="H182" s="46" t="n"/>
      <c r="I182" s="50" t="n"/>
      <c r="J182" s="50" t="n"/>
      <c r="K182" s="50">
        <f>IF(A182="","",B182+C182)</f>
        <v/>
      </c>
      <c r="L182" s="50">
        <f>IF(A182="","",K182/12)</f>
        <v/>
      </c>
      <c r="M182" s="50">
        <f>IF(A182="","",K182/2080)</f>
        <v/>
      </c>
      <c r="N182" s="50">
        <f>IF(A182="","",B182+C182+D182+E182+I182+J182)</f>
        <v/>
      </c>
      <c r="O182" s="50">
        <f>IF(A182="","",N182*0.25)</f>
        <v/>
      </c>
      <c r="P182" s="50">
        <f>IF(A182="","",N182-O182)</f>
        <v/>
      </c>
      <c r="Q182" s="50">
        <f>IF(A182="","",ROUND(B182*0.4+C182*0.1+D182*0.1+E182*0.1+IF(G182="Yes",5000,0)*0.1+F182*500*0.1+IF(H182="Yes",5000,0)*0.1,0))</f>
        <v/>
      </c>
      <c r="R182" s="46">
        <f>IF(A182="","",ROUND(Q182/1000,1))</f>
        <v/>
      </c>
      <c r="S182" s="46">
        <f>IF(A182="","",RANK(R182,$R$2:$R$500,0))</f>
        <v/>
      </c>
    </row>
    <row r="183" ht="22" customHeight="1">
      <c r="A183" s="48" t="n"/>
      <c r="B183" s="51" t="n"/>
      <c r="C183" s="51" t="n"/>
      <c r="D183" s="51" t="n"/>
      <c r="E183" s="51" t="n"/>
      <c r="F183" s="48" t="n"/>
      <c r="G183" s="48" t="n"/>
      <c r="H183" s="48" t="n"/>
      <c r="I183" s="51" t="n"/>
      <c r="J183" s="51" t="n"/>
      <c r="K183" s="51">
        <f>IF(A183="","",B183+C183)</f>
        <v/>
      </c>
      <c r="L183" s="51">
        <f>IF(A183="","",K183/12)</f>
        <v/>
      </c>
      <c r="M183" s="51">
        <f>IF(A183="","",K183/2080)</f>
        <v/>
      </c>
      <c r="N183" s="51">
        <f>IF(A183="","",B183+C183+D183+E183+I183+J183)</f>
        <v/>
      </c>
      <c r="O183" s="51">
        <f>IF(A183="","",N183*0.25)</f>
        <v/>
      </c>
      <c r="P183" s="51">
        <f>IF(A183="","",N183-O183)</f>
        <v/>
      </c>
      <c r="Q183" s="51">
        <f>IF(A183="","",ROUND(B183*0.4+C183*0.1+D183*0.1+E183*0.1+IF(G183="Yes",5000,0)*0.1+F183*500*0.1+IF(H183="Yes",5000,0)*0.1,0))</f>
        <v/>
      </c>
      <c r="R183" s="48">
        <f>IF(A183="","",ROUND(Q183/1000,1))</f>
        <v/>
      </c>
      <c r="S183" s="48">
        <f>IF(A183="","",RANK(R183,$R$2:$R$500,0))</f>
        <v/>
      </c>
    </row>
    <row r="184" ht="22" customHeight="1">
      <c r="A184" s="46" t="n"/>
      <c r="B184" s="50" t="n"/>
      <c r="C184" s="50" t="n"/>
      <c r="D184" s="50" t="n"/>
      <c r="E184" s="50" t="n"/>
      <c r="F184" s="46" t="n"/>
      <c r="G184" s="46" t="n"/>
      <c r="H184" s="46" t="n"/>
      <c r="I184" s="50" t="n"/>
      <c r="J184" s="50" t="n"/>
      <c r="K184" s="50">
        <f>IF(A184="","",B184+C184)</f>
        <v/>
      </c>
      <c r="L184" s="50">
        <f>IF(A184="","",K184/12)</f>
        <v/>
      </c>
      <c r="M184" s="50">
        <f>IF(A184="","",K184/2080)</f>
        <v/>
      </c>
      <c r="N184" s="50">
        <f>IF(A184="","",B184+C184+D184+E184+I184+J184)</f>
        <v/>
      </c>
      <c r="O184" s="50">
        <f>IF(A184="","",N184*0.25)</f>
        <v/>
      </c>
      <c r="P184" s="50">
        <f>IF(A184="","",N184-O184)</f>
        <v/>
      </c>
      <c r="Q184" s="50">
        <f>IF(A184="","",ROUND(B184*0.4+C184*0.1+D184*0.1+E184*0.1+IF(G184="Yes",5000,0)*0.1+F184*500*0.1+IF(H184="Yes",5000,0)*0.1,0))</f>
        <v/>
      </c>
      <c r="R184" s="46">
        <f>IF(A184="","",ROUND(Q184/1000,1))</f>
        <v/>
      </c>
      <c r="S184" s="46">
        <f>IF(A184="","",RANK(R184,$R$2:$R$500,0))</f>
        <v/>
      </c>
    </row>
    <row r="185" ht="22" customHeight="1">
      <c r="A185" s="48" t="n"/>
      <c r="B185" s="51" t="n"/>
      <c r="C185" s="51" t="n"/>
      <c r="D185" s="51" t="n"/>
      <c r="E185" s="51" t="n"/>
      <c r="F185" s="48" t="n"/>
      <c r="G185" s="48" t="n"/>
      <c r="H185" s="48" t="n"/>
      <c r="I185" s="51" t="n"/>
      <c r="J185" s="51" t="n"/>
      <c r="K185" s="51">
        <f>IF(A185="","",B185+C185)</f>
        <v/>
      </c>
      <c r="L185" s="51">
        <f>IF(A185="","",K185/12)</f>
        <v/>
      </c>
      <c r="M185" s="51">
        <f>IF(A185="","",K185/2080)</f>
        <v/>
      </c>
      <c r="N185" s="51">
        <f>IF(A185="","",B185+C185+D185+E185+I185+J185)</f>
        <v/>
      </c>
      <c r="O185" s="51">
        <f>IF(A185="","",N185*0.25)</f>
        <v/>
      </c>
      <c r="P185" s="51">
        <f>IF(A185="","",N185-O185)</f>
        <v/>
      </c>
      <c r="Q185" s="51">
        <f>IF(A185="","",ROUND(B185*0.4+C185*0.1+D185*0.1+E185*0.1+IF(G185="Yes",5000,0)*0.1+F185*500*0.1+IF(H185="Yes",5000,0)*0.1,0))</f>
        <v/>
      </c>
      <c r="R185" s="48">
        <f>IF(A185="","",ROUND(Q185/1000,1))</f>
        <v/>
      </c>
      <c r="S185" s="48">
        <f>IF(A185="","",RANK(R185,$R$2:$R$500,0))</f>
        <v/>
      </c>
    </row>
    <row r="186" ht="22" customHeight="1">
      <c r="A186" s="46" t="n"/>
      <c r="B186" s="50" t="n"/>
      <c r="C186" s="50" t="n"/>
      <c r="D186" s="50" t="n"/>
      <c r="E186" s="50" t="n"/>
      <c r="F186" s="46" t="n"/>
      <c r="G186" s="46" t="n"/>
      <c r="H186" s="46" t="n"/>
      <c r="I186" s="50" t="n"/>
      <c r="J186" s="50" t="n"/>
      <c r="K186" s="50">
        <f>IF(A186="","",B186+C186)</f>
        <v/>
      </c>
      <c r="L186" s="50">
        <f>IF(A186="","",K186/12)</f>
        <v/>
      </c>
      <c r="M186" s="50">
        <f>IF(A186="","",K186/2080)</f>
        <v/>
      </c>
      <c r="N186" s="50">
        <f>IF(A186="","",B186+C186+D186+E186+I186+J186)</f>
        <v/>
      </c>
      <c r="O186" s="50">
        <f>IF(A186="","",N186*0.25)</f>
        <v/>
      </c>
      <c r="P186" s="50">
        <f>IF(A186="","",N186-O186)</f>
        <v/>
      </c>
      <c r="Q186" s="50">
        <f>IF(A186="","",ROUND(B186*0.4+C186*0.1+D186*0.1+E186*0.1+IF(G186="Yes",5000,0)*0.1+F186*500*0.1+IF(H186="Yes",5000,0)*0.1,0))</f>
        <v/>
      </c>
      <c r="R186" s="46">
        <f>IF(A186="","",ROUND(Q186/1000,1))</f>
        <v/>
      </c>
      <c r="S186" s="46">
        <f>IF(A186="","",RANK(R186,$R$2:$R$500,0))</f>
        <v/>
      </c>
    </row>
    <row r="187" ht="22" customHeight="1">
      <c r="A187" s="48" t="n"/>
      <c r="B187" s="51" t="n"/>
      <c r="C187" s="51" t="n"/>
      <c r="D187" s="51" t="n"/>
      <c r="E187" s="51" t="n"/>
      <c r="F187" s="48" t="n"/>
      <c r="G187" s="48" t="n"/>
      <c r="H187" s="48" t="n"/>
      <c r="I187" s="51" t="n"/>
      <c r="J187" s="51" t="n"/>
      <c r="K187" s="51">
        <f>IF(A187="","",B187+C187)</f>
        <v/>
      </c>
      <c r="L187" s="51">
        <f>IF(A187="","",K187/12)</f>
        <v/>
      </c>
      <c r="M187" s="51">
        <f>IF(A187="","",K187/2080)</f>
        <v/>
      </c>
      <c r="N187" s="51">
        <f>IF(A187="","",B187+C187+D187+E187+I187+J187)</f>
        <v/>
      </c>
      <c r="O187" s="51">
        <f>IF(A187="","",N187*0.25)</f>
        <v/>
      </c>
      <c r="P187" s="51">
        <f>IF(A187="","",N187-O187)</f>
        <v/>
      </c>
      <c r="Q187" s="51">
        <f>IF(A187="","",ROUND(B187*0.4+C187*0.1+D187*0.1+E187*0.1+IF(G187="Yes",5000,0)*0.1+F187*500*0.1+IF(H187="Yes",5000,0)*0.1,0))</f>
        <v/>
      </c>
      <c r="R187" s="48">
        <f>IF(A187="","",ROUND(Q187/1000,1))</f>
        <v/>
      </c>
      <c r="S187" s="48">
        <f>IF(A187="","",RANK(R187,$R$2:$R$500,0))</f>
        <v/>
      </c>
    </row>
    <row r="188" ht="22" customHeight="1">
      <c r="A188" s="46" t="n"/>
      <c r="B188" s="50" t="n"/>
      <c r="C188" s="50" t="n"/>
      <c r="D188" s="50" t="n"/>
      <c r="E188" s="50" t="n"/>
      <c r="F188" s="46" t="n"/>
      <c r="G188" s="46" t="n"/>
      <c r="H188" s="46" t="n"/>
      <c r="I188" s="50" t="n"/>
      <c r="J188" s="50" t="n"/>
      <c r="K188" s="50">
        <f>IF(A188="","",B188+C188)</f>
        <v/>
      </c>
      <c r="L188" s="50">
        <f>IF(A188="","",K188/12)</f>
        <v/>
      </c>
      <c r="M188" s="50">
        <f>IF(A188="","",K188/2080)</f>
        <v/>
      </c>
      <c r="N188" s="50">
        <f>IF(A188="","",B188+C188+D188+E188+I188+J188)</f>
        <v/>
      </c>
      <c r="O188" s="50">
        <f>IF(A188="","",N188*0.25)</f>
        <v/>
      </c>
      <c r="P188" s="50">
        <f>IF(A188="","",N188-O188)</f>
        <v/>
      </c>
      <c r="Q188" s="50">
        <f>IF(A188="","",ROUND(B188*0.4+C188*0.1+D188*0.1+E188*0.1+IF(G188="Yes",5000,0)*0.1+F188*500*0.1+IF(H188="Yes",5000,0)*0.1,0))</f>
        <v/>
      </c>
      <c r="R188" s="46">
        <f>IF(A188="","",ROUND(Q188/1000,1))</f>
        <v/>
      </c>
      <c r="S188" s="46">
        <f>IF(A188="","",RANK(R188,$R$2:$R$500,0))</f>
        <v/>
      </c>
    </row>
    <row r="189" ht="22" customHeight="1">
      <c r="A189" s="48" t="n"/>
      <c r="B189" s="51" t="n"/>
      <c r="C189" s="51" t="n"/>
      <c r="D189" s="51" t="n"/>
      <c r="E189" s="51" t="n"/>
      <c r="F189" s="48" t="n"/>
      <c r="G189" s="48" t="n"/>
      <c r="H189" s="48" t="n"/>
      <c r="I189" s="51" t="n"/>
      <c r="J189" s="51" t="n"/>
      <c r="K189" s="51">
        <f>IF(A189="","",B189+C189)</f>
        <v/>
      </c>
      <c r="L189" s="51">
        <f>IF(A189="","",K189/12)</f>
        <v/>
      </c>
      <c r="M189" s="51">
        <f>IF(A189="","",K189/2080)</f>
        <v/>
      </c>
      <c r="N189" s="51">
        <f>IF(A189="","",B189+C189+D189+E189+I189+J189)</f>
        <v/>
      </c>
      <c r="O189" s="51">
        <f>IF(A189="","",N189*0.25)</f>
        <v/>
      </c>
      <c r="P189" s="51">
        <f>IF(A189="","",N189-O189)</f>
        <v/>
      </c>
      <c r="Q189" s="51">
        <f>IF(A189="","",ROUND(B189*0.4+C189*0.1+D189*0.1+E189*0.1+IF(G189="Yes",5000,0)*0.1+F189*500*0.1+IF(H189="Yes",5000,0)*0.1,0))</f>
        <v/>
      </c>
      <c r="R189" s="48">
        <f>IF(A189="","",ROUND(Q189/1000,1))</f>
        <v/>
      </c>
      <c r="S189" s="48">
        <f>IF(A189="","",RANK(R189,$R$2:$R$500,0))</f>
        <v/>
      </c>
    </row>
    <row r="190" ht="22" customHeight="1">
      <c r="A190" s="46" t="n"/>
      <c r="B190" s="50" t="n"/>
      <c r="C190" s="50" t="n"/>
      <c r="D190" s="50" t="n"/>
      <c r="E190" s="50" t="n"/>
      <c r="F190" s="46" t="n"/>
      <c r="G190" s="46" t="n"/>
      <c r="H190" s="46" t="n"/>
      <c r="I190" s="50" t="n"/>
      <c r="J190" s="50" t="n"/>
      <c r="K190" s="50">
        <f>IF(A190="","",B190+C190)</f>
        <v/>
      </c>
      <c r="L190" s="50">
        <f>IF(A190="","",K190/12)</f>
        <v/>
      </c>
      <c r="M190" s="50">
        <f>IF(A190="","",K190/2080)</f>
        <v/>
      </c>
      <c r="N190" s="50">
        <f>IF(A190="","",B190+C190+D190+E190+I190+J190)</f>
        <v/>
      </c>
      <c r="O190" s="50">
        <f>IF(A190="","",N190*0.25)</f>
        <v/>
      </c>
      <c r="P190" s="50">
        <f>IF(A190="","",N190-O190)</f>
        <v/>
      </c>
      <c r="Q190" s="50">
        <f>IF(A190="","",ROUND(B190*0.4+C190*0.1+D190*0.1+E190*0.1+IF(G190="Yes",5000,0)*0.1+F190*500*0.1+IF(H190="Yes",5000,0)*0.1,0))</f>
        <v/>
      </c>
      <c r="R190" s="46">
        <f>IF(A190="","",ROUND(Q190/1000,1))</f>
        <v/>
      </c>
      <c r="S190" s="46">
        <f>IF(A190="","",RANK(R190,$R$2:$R$500,0))</f>
        <v/>
      </c>
    </row>
    <row r="191" ht="22" customHeight="1">
      <c r="A191" s="48" t="n"/>
      <c r="B191" s="51" t="n"/>
      <c r="C191" s="51" t="n"/>
      <c r="D191" s="51" t="n"/>
      <c r="E191" s="51" t="n"/>
      <c r="F191" s="48" t="n"/>
      <c r="G191" s="48" t="n"/>
      <c r="H191" s="48" t="n"/>
      <c r="I191" s="51" t="n"/>
      <c r="J191" s="51" t="n"/>
      <c r="K191" s="51">
        <f>IF(A191="","",B191+C191)</f>
        <v/>
      </c>
      <c r="L191" s="51">
        <f>IF(A191="","",K191/12)</f>
        <v/>
      </c>
      <c r="M191" s="51">
        <f>IF(A191="","",K191/2080)</f>
        <v/>
      </c>
      <c r="N191" s="51">
        <f>IF(A191="","",B191+C191+D191+E191+I191+J191)</f>
        <v/>
      </c>
      <c r="O191" s="51">
        <f>IF(A191="","",N191*0.25)</f>
        <v/>
      </c>
      <c r="P191" s="51">
        <f>IF(A191="","",N191-O191)</f>
        <v/>
      </c>
      <c r="Q191" s="51">
        <f>IF(A191="","",ROUND(B191*0.4+C191*0.1+D191*0.1+E191*0.1+IF(G191="Yes",5000,0)*0.1+F191*500*0.1+IF(H191="Yes",5000,0)*0.1,0))</f>
        <v/>
      </c>
      <c r="R191" s="48">
        <f>IF(A191="","",ROUND(Q191/1000,1))</f>
        <v/>
      </c>
      <c r="S191" s="48">
        <f>IF(A191="","",RANK(R191,$R$2:$R$500,0))</f>
        <v/>
      </c>
    </row>
    <row r="192" ht="22" customHeight="1">
      <c r="A192" s="46" t="n"/>
      <c r="B192" s="50" t="n"/>
      <c r="C192" s="50" t="n"/>
      <c r="D192" s="50" t="n"/>
      <c r="E192" s="50" t="n"/>
      <c r="F192" s="46" t="n"/>
      <c r="G192" s="46" t="n"/>
      <c r="H192" s="46" t="n"/>
      <c r="I192" s="50" t="n"/>
      <c r="J192" s="50" t="n"/>
      <c r="K192" s="50">
        <f>IF(A192="","",B192+C192)</f>
        <v/>
      </c>
      <c r="L192" s="50">
        <f>IF(A192="","",K192/12)</f>
        <v/>
      </c>
      <c r="M192" s="50">
        <f>IF(A192="","",K192/2080)</f>
        <v/>
      </c>
      <c r="N192" s="50">
        <f>IF(A192="","",B192+C192+D192+E192+I192+J192)</f>
        <v/>
      </c>
      <c r="O192" s="50">
        <f>IF(A192="","",N192*0.25)</f>
        <v/>
      </c>
      <c r="P192" s="50">
        <f>IF(A192="","",N192-O192)</f>
        <v/>
      </c>
      <c r="Q192" s="50">
        <f>IF(A192="","",ROUND(B192*0.4+C192*0.1+D192*0.1+E192*0.1+IF(G192="Yes",5000,0)*0.1+F192*500*0.1+IF(H192="Yes",5000,0)*0.1,0))</f>
        <v/>
      </c>
      <c r="R192" s="46">
        <f>IF(A192="","",ROUND(Q192/1000,1))</f>
        <v/>
      </c>
      <c r="S192" s="46">
        <f>IF(A192="","",RANK(R192,$R$2:$R$500,0))</f>
        <v/>
      </c>
    </row>
    <row r="193" ht="22" customHeight="1">
      <c r="A193" s="48" t="n"/>
      <c r="B193" s="51" t="n"/>
      <c r="C193" s="51" t="n"/>
      <c r="D193" s="51" t="n"/>
      <c r="E193" s="51" t="n"/>
      <c r="F193" s="48" t="n"/>
      <c r="G193" s="48" t="n"/>
      <c r="H193" s="48" t="n"/>
      <c r="I193" s="51" t="n"/>
      <c r="J193" s="51" t="n"/>
      <c r="K193" s="51">
        <f>IF(A193="","",B193+C193)</f>
        <v/>
      </c>
      <c r="L193" s="51">
        <f>IF(A193="","",K193/12)</f>
        <v/>
      </c>
      <c r="M193" s="51">
        <f>IF(A193="","",K193/2080)</f>
        <v/>
      </c>
      <c r="N193" s="51">
        <f>IF(A193="","",B193+C193+D193+E193+I193+J193)</f>
        <v/>
      </c>
      <c r="O193" s="51">
        <f>IF(A193="","",N193*0.25)</f>
        <v/>
      </c>
      <c r="P193" s="51">
        <f>IF(A193="","",N193-O193)</f>
        <v/>
      </c>
      <c r="Q193" s="51">
        <f>IF(A193="","",ROUND(B193*0.4+C193*0.1+D193*0.1+E193*0.1+IF(G193="Yes",5000,0)*0.1+F193*500*0.1+IF(H193="Yes",5000,0)*0.1,0))</f>
        <v/>
      </c>
      <c r="R193" s="48">
        <f>IF(A193="","",ROUND(Q193/1000,1))</f>
        <v/>
      </c>
      <c r="S193" s="48">
        <f>IF(A193="","",RANK(R193,$R$2:$R$500,0))</f>
        <v/>
      </c>
    </row>
    <row r="194" ht="22" customHeight="1">
      <c r="A194" s="46" t="n"/>
      <c r="B194" s="50" t="n"/>
      <c r="C194" s="50" t="n"/>
      <c r="D194" s="50" t="n"/>
      <c r="E194" s="50" t="n"/>
      <c r="F194" s="46" t="n"/>
      <c r="G194" s="46" t="n"/>
      <c r="H194" s="46" t="n"/>
      <c r="I194" s="50" t="n"/>
      <c r="J194" s="50" t="n"/>
      <c r="K194" s="50">
        <f>IF(A194="","",B194+C194)</f>
        <v/>
      </c>
      <c r="L194" s="50">
        <f>IF(A194="","",K194/12)</f>
        <v/>
      </c>
      <c r="M194" s="50">
        <f>IF(A194="","",K194/2080)</f>
        <v/>
      </c>
      <c r="N194" s="50">
        <f>IF(A194="","",B194+C194+D194+E194+I194+J194)</f>
        <v/>
      </c>
      <c r="O194" s="50">
        <f>IF(A194="","",N194*0.25)</f>
        <v/>
      </c>
      <c r="P194" s="50">
        <f>IF(A194="","",N194-O194)</f>
        <v/>
      </c>
      <c r="Q194" s="50">
        <f>IF(A194="","",ROUND(B194*0.4+C194*0.1+D194*0.1+E194*0.1+IF(G194="Yes",5000,0)*0.1+F194*500*0.1+IF(H194="Yes",5000,0)*0.1,0))</f>
        <v/>
      </c>
      <c r="R194" s="46">
        <f>IF(A194="","",ROUND(Q194/1000,1))</f>
        <v/>
      </c>
      <c r="S194" s="46">
        <f>IF(A194="","",RANK(R194,$R$2:$R$500,0))</f>
        <v/>
      </c>
    </row>
    <row r="195" ht="22" customHeight="1">
      <c r="A195" s="48" t="n"/>
      <c r="B195" s="51" t="n"/>
      <c r="C195" s="51" t="n"/>
      <c r="D195" s="51" t="n"/>
      <c r="E195" s="51" t="n"/>
      <c r="F195" s="48" t="n"/>
      <c r="G195" s="48" t="n"/>
      <c r="H195" s="48" t="n"/>
      <c r="I195" s="51" t="n"/>
      <c r="J195" s="51" t="n"/>
      <c r="K195" s="51">
        <f>IF(A195="","",B195+C195)</f>
        <v/>
      </c>
      <c r="L195" s="51">
        <f>IF(A195="","",K195/12)</f>
        <v/>
      </c>
      <c r="M195" s="51">
        <f>IF(A195="","",K195/2080)</f>
        <v/>
      </c>
      <c r="N195" s="51">
        <f>IF(A195="","",B195+C195+D195+E195+I195+J195)</f>
        <v/>
      </c>
      <c r="O195" s="51">
        <f>IF(A195="","",N195*0.25)</f>
        <v/>
      </c>
      <c r="P195" s="51">
        <f>IF(A195="","",N195-O195)</f>
        <v/>
      </c>
      <c r="Q195" s="51">
        <f>IF(A195="","",ROUND(B195*0.4+C195*0.1+D195*0.1+E195*0.1+IF(G195="Yes",5000,0)*0.1+F195*500*0.1+IF(H195="Yes",5000,0)*0.1,0))</f>
        <v/>
      </c>
      <c r="R195" s="48">
        <f>IF(A195="","",ROUND(Q195/1000,1))</f>
        <v/>
      </c>
      <c r="S195" s="48">
        <f>IF(A195="","",RANK(R195,$R$2:$R$500,0))</f>
        <v/>
      </c>
    </row>
    <row r="196" ht="22" customHeight="1">
      <c r="A196" s="46" t="n"/>
      <c r="B196" s="50" t="n"/>
      <c r="C196" s="50" t="n"/>
      <c r="D196" s="50" t="n"/>
      <c r="E196" s="50" t="n"/>
      <c r="F196" s="46" t="n"/>
      <c r="G196" s="46" t="n"/>
      <c r="H196" s="46" t="n"/>
      <c r="I196" s="50" t="n"/>
      <c r="J196" s="50" t="n"/>
      <c r="K196" s="50">
        <f>IF(A196="","",B196+C196)</f>
        <v/>
      </c>
      <c r="L196" s="50">
        <f>IF(A196="","",K196/12)</f>
        <v/>
      </c>
      <c r="M196" s="50">
        <f>IF(A196="","",K196/2080)</f>
        <v/>
      </c>
      <c r="N196" s="50">
        <f>IF(A196="","",B196+C196+D196+E196+I196+J196)</f>
        <v/>
      </c>
      <c r="O196" s="50">
        <f>IF(A196="","",N196*0.25)</f>
        <v/>
      </c>
      <c r="P196" s="50">
        <f>IF(A196="","",N196-O196)</f>
        <v/>
      </c>
      <c r="Q196" s="50">
        <f>IF(A196="","",ROUND(B196*0.4+C196*0.1+D196*0.1+E196*0.1+IF(G196="Yes",5000,0)*0.1+F196*500*0.1+IF(H196="Yes",5000,0)*0.1,0))</f>
        <v/>
      </c>
      <c r="R196" s="46">
        <f>IF(A196="","",ROUND(Q196/1000,1))</f>
        <v/>
      </c>
      <c r="S196" s="46">
        <f>IF(A196="","",RANK(R196,$R$2:$R$500,0))</f>
        <v/>
      </c>
    </row>
    <row r="197" ht="22" customHeight="1">
      <c r="A197" s="48" t="n"/>
      <c r="B197" s="51" t="n"/>
      <c r="C197" s="51" t="n"/>
      <c r="D197" s="51" t="n"/>
      <c r="E197" s="51" t="n"/>
      <c r="F197" s="48" t="n"/>
      <c r="G197" s="48" t="n"/>
      <c r="H197" s="48" t="n"/>
      <c r="I197" s="51" t="n"/>
      <c r="J197" s="51" t="n"/>
      <c r="K197" s="51">
        <f>IF(A197="","",B197+C197)</f>
        <v/>
      </c>
      <c r="L197" s="51">
        <f>IF(A197="","",K197/12)</f>
        <v/>
      </c>
      <c r="M197" s="51">
        <f>IF(A197="","",K197/2080)</f>
        <v/>
      </c>
      <c r="N197" s="51">
        <f>IF(A197="","",B197+C197+D197+E197+I197+J197)</f>
        <v/>
      </c>
      <c r="O197" s="51">
        <f>IF(A197="","",N197*0.25)</f>
        <v/>
      </c>
      <c r="P197" s="51">
        <f>IF(A197="","",N197-O197)</f>
        <v/>
      </c>
      <c r="Q197" s="51">
        <f>IF(A197="","",ROUND(B197*0.4+C197*0.1+D197*0.1+E197*0.1+IF(G197="Yes",5000,0)*0.1+F197*500*0.1+IF(H197="Yes",5000,0)*0.1,0))</f>
        <v/>
      </c>
      <c r="R197" s="48">
        <f>IF(A197="","",ROUND(Q197/1000,1))</f>
        <v/>
      </c>
      <c r="S197" s="48">
        <f>IF(A197="","",RANK(R197,$R$2:$R$500,0))</f>
        <v/>
      </c>
    </row>
    <row r="198" ht="22" customHeight="1">
      <c r="A198" s="46" t="n"/>
      <c r="B198" s="50" t="n"/>
      <c r="C198" s="50" t="n"/>
      <c r="D198" s="50" t="n"/>
      <c r="E198" s="50" t="n"/>
      <c r="F198" s="46" t="n"/>
      <c r="G198" s="46" t="n"/>
      <c r="H198" s="46" t="n"/>
      <c r="I198" s="50" t="n"/>
      <c r="J198" s="50" t="n"/>
      <c r="K198" s="50">
        <f>IF(A198="","",B198+C198)</f>
        <v/>
      </c>
      <c r="L198" s="50">
        <f>IF(A198="","",K198/12)</f>
        <v/>
      </c>
      <c r="M198" s="50">
        <f>IF(A198="","",K198/2080)</f>
        <v/>
      </c>
      <c r="N198" s="50">
        <f>IF(A198="","",B198+C198+D198+E198+I198+J198)</f>
        <v/>
      </c>
      <c r="O198" s="50">
        <f>IF(A198="","",N198*0.25)</f>
        <v/>
      </c>
      <c r="P198" s="50">
        <f>IF(A198="","",N198-O198)</f>
        <v/>
      </c>
      <c r="Q198" s="50">
        <f>IF(A198="","",ROUND(B198*0.4+C198*0.1+D198*0.1+E198*0.1+IF(G198="Yes",5000,0)*0.1+F198*500*0.1+IF(H198="Yes",5000,0)*0.1,0))</f>
        <v/>
      </c>
      <c r="R198" s="46">
        <f>IF(A198="","",ROUND(Q198/1000,1))</f>
        <v/>
      </c>
      <c r="S198" s="46">
        <f>IF(A198="","",RANK(R198,$R$2:$R$500,0))</f>
        <v/>
      </c>
    </row>
    <row r="199" ht="22" customHeight="1">
      <c r="A199" s="48" t="n"/>
      <c r="B199" s="51" t="n"/>
      <c r="C199" s="51" t="n"/>
      <c r="D199" s="51" t="n"/>
      <c r="E199" s="51" t="n"/>
      <c r="F199" s="48" t="n"/>
      <c r="G199" s="48" t="n"/>
      <c r="H199" s="48" t="n"/>
      <c r="I199" s="51" t="n"/>
      <c r="J199" s="51" t="n"/>
      <c r="K199" s="51">
        <f>IF(A199="","",B199+C199)</f>
        <v/>
      </c>
      <c r="L199" s="51">
        <f>IF(A199="","",K199/12)</f>
        <v/>
      </c>
      <c r="M199" s="51">
        <f>IF(A199="","",K199/2080)</f>
        <v/>
      </c>
      <c r="N199" s="51">
        <f>IF(A199="","",B199+C199+D199+E199+I199+J199)</f>
        <v/>
      </c>
      <c r="O199" s="51">
        <f>IF(A199="","",N199*0.25)</f>
        <v/>
      </c>
      <c r="P199" s="51">
        <f>IF(A199="","",N199-O199)</f>
        <v/>
      </c>
      <c r="Q199" s="51">
        <f>IF(A199="","",ROUND(B199*0.4+C199*0.1+D199*0.1+E199*0.1+IF(G199="Yes",5000,0)*0.1+F199*500*0.1+IF(H199="Yes",5000,0)*0.1,0))</f>
        <v/>
      </c>
      <c r="R199" s="48">
        <f>IF(A199="","",ROUND(Q199/1000,1))</f>
        <v/>
      </c>
      <c r="S199" s="48">
        <f>IF(A199="","",RANK(R199,$R$2:$R$500,0))</f>
        <v/>
      </c>
    </row>
    <row r="200" ht="22" customHeight="1">
      <c r="A200" s="46" t="n"/>
      <c r="B200" s="50" t="n"/>
      <c r="C200" s="50" t="n"/>
      <c r="D200" s="50" t="n"/>
      <c r="E200" s="50" t="n"/>
      <c r="F200" s="46" t="n"/>
      <c r="G200" s="46" t="n"/>
      <c r="H200" s="46" t="n"/>
      <c r="I200" s="50" t="n"/>
      <c r="J200" s="50" t="n"/>
      <c r="K200" s="50">
        <f>IF(A200="","",B200+C200)</f>
        <v/>
      </c>
      <c r="L200" s="50">
        <f>IF(A200="","",K200/12)</f>
        <v/>
      </c>
      <c r="M200" s="50">
        <f>IF(A200="","",K200/2080)</f>
        <v/>
      </c>
      <c r="N200" s="50">
        <f>IF(A200="","",B200+C200+D200+E200+I200+J200)</f>
        <v/>
      </c>
      <c r="O200" s="50">
        <f>IF(A200="","",N200*0.25)</f>
        <v/>
      </c>
      <c r="P200" s="50">
        <f>IF(A200="","",N200-O200)</f>
        <v/>
      </c>
      <c r="Q200" s="50">
        <f>IF(A200="","",ROUND(B200*0.4+C200*0.1+D200*0.1+E200*0.1+IF(G200="Yes",5000,0)*0.1+F200*500*0.1+IF(H200="Yes",5000,0)*0.1,0))</f>
        <v/>
      </c>
      <c r="R200" s="46">
        <f>IF(A200="","",ROUND(Q200/1000,1))</f>
        <v/>
      </c>
      <c r="S200" s="46">
        <f>IF(A200="","",RANK(R200,$R$2:$R$500,0))</f>
        <v/>
      </c>
    </row>
    <row r="201" ht="22" customHeight="1">
      <c r="A201" s="48" t="n"/>
      <c r="B201" s="51" t="n"/>
      <c r="C201" s="51" t="n"/>
      <c r="D201" s="51" t="n"/>
      <c r="E201" s="51" t="n"/>
      <c r="F201" s="48" t="n"/>
      <c r="G201" s="48" t="n"/>
      <c r="H201" s="48" t="n"/>
      <c r="I201" s="51" t="n"/>
      <c r="J201" s="51" t="n"/>
      <c r="K201" s="51">
        <f>IF(A201="","",B201+C201)</f>
        <v/>
      </c>
      <c r="L201" s="51">
        <f>IF(A201="","",K201/12)</f>
        <v/>
      </c>
      <c r="M201" s="51">
        <f>IF(A201="","",K201/2080)</f>
        <v/>
      </c>
      <c r="N201" s="51">
        <f>IF(A201="","",B201+C201+D201+E201+I201+J201)</f>
        <v/>
      </c>
      <c r="O201" s="51">
        <f>IF(A201="","",N201*0.25)</f>
        <v/>
      </c>
      <c r="P201" s="51">
        <f>IF(A201="","",N201-O201)</f>
        <v/>
      </c>
      <c r="Q201" s="51">
        <f>IF(A201="","",ROUND(B201*0.4+C201*0.1+D201*0.1+E201*0.1+IF(G201="Yes",5000,0)*0.1+F201*500*0.1+IF(H201="Yes",5000,0)*0.1,0))</f>
        <v/>
      </c>
      <c r="R201" s="48">
        <f>IF(A201="","",ROUND(Q201/1000,1))</f>
        <v/>
      </c>
      <c r="S201" s="48">
        <f>IF(A201="","",RANK(R201,$R$2:$R$500,0))</f>
        <v/>
      </c>
    </row>
    <row r="202" ht="22" customHeight="1">
      <c r="A202" s="46" t="n"/>
      <c r="B202" s="50" t="n"/>
      <c r="C202" s="50" t="n"/>
      <c r="D202" s="50" t="n"/>
      <c r="E202" s="50" t="n"/>
      <c r="F202" s="46" t="n"/>
      <c r="G202" s="46" t="n"/>
      <c r="H202" s="46" t="n"/>
      <c r="I202" s="50" t="n"/>
      <c r="J202" s="50" t="n"/>
      <c r="K202" s="50">
        <f>IF(A202="","",B202+C202)</f>
        <v/>
      </c>
      <c r="L202" s="50">
        <f>IF(A202="","",K202/12)</f>
        <v/>
      </c>
      <c r="M202" s="50">
        <f>IF(A202="","",K202/2080)</f>
        <v/>
      </c>
      <c r="N202" s="50">
        <f>IF(A202="","",B202+C202+D202+E202+I202+J202)</f>
        <v/>
      </c>
      <c r="O202" s="50">
        <f>IF(A202="","",N202*0.25)</f>
        <v/>
      </c>
      <c r="P202" s="50">
        <f>IF(A202="","",N202-O202)</f>
        <v/>
      </c>
      <c r="Q202" s="50">
        <f>IF(A202="","",ROUND(B202*0.4+C202*0.1+D202*0.1+E202*0.1+IF(G202="Yes",5000,0)*0.1+F202*500*0.1+IF(H202="Yes",5000,0)*0.1,0))</f>
        <v/>
      </c>
      <c r="R202" s="46">
        <f>IF(A202="","",ROUND(Q202/1000,1))</f>
        <v/>
      </c>
      <c r="S202" s="46">
        <f>IF(A202="","",RANK(R202,$R$2:$R$500,0))</f>
        <v/>
      </c>
    </row>
    <row r="203" ht="22" customHeight="1">
      <c r="A203" s="48" t="n"/>
      <c r="B203" s="51" t="n"/>
      <c r="C203" s="51" t="n"/>
      <c r="D203" s="51" t="n"/>
      <c r="E203" s="51" t="n"/>
      <c r="F203" s="48" t="n"/>
      <c r="G203" s="48" t="n"/>
      <c r="H203" s="48" t="n"/>
      <c r="I203" s="51" t="n"/>
      <c r="J203" s="51" t="n"/>
      <c r="K203" s="51">
        <f>IF(A203="","",B203+C203)</f>
        <v/>
      </c>
      <c r="L203" s="51">
        <f>IF(A203="","",K203/12)</f>
        <v/>
      </c>
      <c r="M203" s="51">
        <f>IF(A203="","",K203/2080)</f>
        <v/>
      </c>
      <c r="N203" s="51">
        <f>IF(A203="","",B203+C203+D203+E203+I203+J203)</f>
        <v/>
      </c>
      <c r="O203" s="51">
        <f>IF(A203="","",N203*0.25)</f>
        <v/>
      </c>
      <c r="P203" s="51">
        <f>IF(A203="","",N203-O203)</f>
        <v/>
      </c>
      <c r="Q203" s="51">
        <f>IF(A203="","",ROUND(B203*0.4+C203*0.1+D203*0.1+E203*0.1+IF(G203="Yes",5000,0)*0.1+F203*500*0.1+IF(H203="Yes",5000,0)*0.1,0))</f>
        <v/>
      </c>
      <c r="R203" s="48">
        <f>IF(A203="","",ROUND(Q203/1000,1))</f>
        <v/>
      </c>
      <c r="S203" s="48">
        <f>IF(A203="","",RANK(R203,$R$2:$R$500,0))</f>
        <v/>
      </c>
    </row>
    <row r="204" ht="22" customHeight="1">
      <c r="A204" s="46" t="n"/>
      <c r="B204" s="50" t="n"/>
      <c r="C204" s="50" t="n"/>
      <c r="D204" s="50" t="n"/>
      <c r="E204" s="50" t="n"/>
      <c r="F204" s="46" t="n"/>
      <c r="G204" s="46" t="n"/>
      <c r="H204" s="46" t="n"/>
      <c r="I204" s="50" t="n"/>
      <c r="J204" s="50" t="n"/>
      <c r="K204" s="50">
        <f>IF(A204="","",B204+C204)</f>
        <v/>
      </c>
      <c r="L204" s="50">
        <f>IF(A204="","",K204/12)</f>
        <v/>
      </c>
      <c r="M204" s="50">
        <f>IF(A204="","",K204/2080)</f>
        <v/>
      </c>
      <c r="N204" s="50">
        <f>IF(A204="","",B204+C204+D204+E204+I204+J204)</f>
        <v/>
      </c>
      <c r="O204" s="50">
        <f>IF(A204="","",N204*0.25)</f>
        <v/>
      </c>
      <c r="P204" s="50">
        <f>IF(A204="","",N204-O204)</f>
        <v/>
      </c>
      <c r="Q204" s="50">
        <f>IF(A204="","",ROUND(B204*0.4+C204*0.1+D204*0.1+E204*0.1+IF(G204="Yes",5000,0)*0.1+F204*500*0.1+IF(H204="Yes",5000,0)*0.1,0))</f>
        <v/>
      </c>
      <c r="R204" s="46">
        <f>IF(A204="","",ROUND(Q204/1000,1))</f>
        <v/>
      </c>
      <c r="S204" s="46">
        <f>IF(A204="","",RANK(R204,$R$2:$R$500,0))</f>
        <v/>
      </c>
    </row>
    <row r="205" ht="22" customHeight="1">
      <c r="A205" s="48" t="n"/>
      <c r="B205" s="51" t="n"/>
      <c r="C205" s="51" t="n"/>
      <c r="D205" s="51" t="n"/>
      <c r="E205" s="51" t="n"/>
      <c r="F205" s="48" t="n"/>
      <c r="G205" s="48" t="n"/>
      <c r="H205" s="48" t="n"/>
      <c r="I205" s="51" t="n"/>
      <c r="J205" s="51" t="n"/>
      <c r="K205" s="51">
        <f>IF(A205="","",B205+C205)</f>
        <v/>
      </c>
      <c r="L205" s="51">
        <f>IF(A205="","",K205/12)</f>
        <v/>
      </c>
      <c r="M205" s="51">
        <f>IF(A205="","",K205/2080)</f>
        <v/>
      </c>
      <c r="N205" s="51">
        <f>IF(A205="","",B205+C205+D205+E205+I205+J205)</f>
        <v/>
      </c>
      <c r="O205" s="51">
        <f>IF(A205="","",N205*0.25)</f>
        <v/>
      </c>
      <c r="P205" s="51">
        <f>IF(A205="","",N205-O205)</f>
        <v/>
      </c>
      <c r="Q205" s="51">
        <f>IF(A205="","",ROUND(B205*0.4+C205*0.1+D205*0.1+E205*0.1+IF(G205="Yes",5000,0)*0.1+F205*500*0.1+IF(H205="Yes",5000,0)*0.1,0))</f>
        <v/>
      </c>
      <c r="R205" s="48">
        <f>IF(A205="","",ROUND(Q205/1000,1))</f>
        <v/>
      </c>
      <c r="S205" s="48">
        <f>IF(A205="","",RANK(R205,$R$2:$R$500,0))</f>
        <v/>
      </c>
    </row>
    <row r="206" ht="22" customHeight="1">
      <c r="A206" s="46" t="n"/>
      <c r="B206" s="50" t="n"/>
      <c r="C206" s="50" t="n"/>
      <c r="D206" s="50" t="n"/>
      <c r="E206" s="50" t="n"/>
      <c r="F206" s="46" t="n"/>
      <c r="G206" s="46" t="n"/>
      <c r="H206" s="46" t="n"/>
      <c r="I206" s="50" t="n"/>
      <c r="J206" s="50" t="n"/>
      <c r="K206" s="50">
        <f>IF(A206="","",B206+C206)</f>
        <v/>
      </c>
      <c r="L206" s="50">
        <f>IF(A206="","",K206/12)</f>
        <v/>
      </c>
      <c r="M206" s="50">
        <f>IF(A206="","",K206/2080)</f>
        <v/>
      </c>
      <c r="N206" s="50">
        <f>IF(A206="","",B206+C206+D206+E206+I206+J206)</f>
        <v/>
      </c>
      <c r="O206" s="50">
        <f>IF(A206="","",N206*0.25)</f>
        <v/>
      </c>
      <c r="P206" s="50">
        <f>IF(A206="","",N206-O206)</f>
        <v/>
      </c>
      <c r="Q206" s="50">
        <f>IF(A206="","",ROUND(B206*0.4+C206*0.1+D206*0.1+E206*0.1+IF(G206="Yes",5000,0)*0.1+F206*500*0.1+IF(H206="Yes",5000,0)*0.1,0))</f>
        <v/>
      </c>
      <c r="R206" s="46">
        <f>IF(A206="","",ROUND(Q206/1000,1))</f>
        <v/>
      </c>
      <c r="S206" s="46">
        <f>IF(A206="","",RANK(R206,$R$2:$R$500,0))</f>
        <v/>
      </c>
    </row>
    <row r="207" ht="22" customHeight="1">
      <c r="A207" s="48" t="n"/>
      <c r="B207" s="51" t="n"/>
      <c r="C207" s="51" t="n"/>
      <c r="D207" s="51" t="n"/>
      <c r="E207" s="51" t="n"/>
      <c r="F207" s="48" t="n"/>
      <c r="G207" s="48" t="n"/>
      <c r="H207" s="48" t="n"/>
      <c r="I207" s="51" t="n"/>
      <c r="J207" s="51" t="n"/>
      <c r="K207" s="51">
        <f>IF(A207="","",B207+C207)</f>
        <v/>
      </c>
      <c r="L207" s="51">
        <f>IF(A207="","",K207/12)</f>
        <v/>
      </c>
      <c r="M207" s="51">
        <f>IF(A207="","",K207/2080)</f>
        <v/>
      </c>
      <c r="N207" s="51">
        <f>IF(A207="","",B207+C207+D207+E207+I207+J207)</f>
        <v/>
      </c>
      <c r="O207" s="51">
        <f>IF(A207="","",N207*0.25)</f>
        <v/>
      </c>
      <c r="P207" s="51">
        <f>IF(A207="","",N207-O207)</f>
        <v/>
      </c>
      <c r="Q207" s="51">
        <f>IF(A207="","",ROUND(B207*0.4+C207*0.1+D207*0.1+E207*0.1+IF(G207="Yes",5000,0)*0.1+F207*500*0.1+IF(H207="Yes",5000,0)*0.1,0))</f>
        <v/>
      </c>
      <c r="R207" s="48">
        <f>IF(A207="","",ROUND(Q207/1000,1))</f>
        <v/>
      </c>
      <c r="S207" s="48">
        <f>IF(A207="","",RANK(R207,$R$2:$R$500,0))</f>
        <v/>
      </c>
    </row>
    <row r="208" ht="22" customHeight="1">
      <c r="A208" s="46" t="n"/>
      <c r="B208" s="50" t="n"/>
      <c r="C208" s="50" t="n"/>
      <c r="D208" s="50" t="n"/>
      <c r="E208" s="50" t="n"/>
      <c r="F208" s="46" t="n"/>
      <c r="G208" s="46" t="n"/>
      <c r="H208" s="46" t="n"/>
      <c r="I208" s="50" t="n"/>
      <c r="J208" s="50" t="n"/>
      <c r="K208" s="50">
        <f>IF(A208="","",B208+C208)</f>
        <v/>
      </c>
      <c r="L208" s="50">
        <f>IF(A208="","",K208/12)</f>
        <v/>
      </c>
      <c r="M208" s="50">
        <f>IF(A208="","",K208/2080)</f>
        <v/>
      </c>
      <c r="N208" s="50">
        <f>IF(A208="","",B208+C208+D208+E208+I208+J208)</f>
        <v/>
      </c>
      <c r="O208" s="50">
        <f>IF(A208="","",N208*0.25)</f>
        <v/>
      </c>
      <c r="P208" s="50">
        <f>IF(A208="","",N208-O208)</f>
        <v/>
      </c>
      <c r="Q208" s="50">
        <f>IF(A208="","",ROUND(B208*0.4+C208*0.1+D208*0.1+E208*0.1+IF(G208="Yes",5000,0)*0.1+F208*500*0.1+IF(H208="Yes",5000,0)*0.1,0))</f>
        <v/>
      </c>
      <c r="R208" s="46">
        <f>IF(A208="","",ROUND(Q208/1000,1))</f>
        <v/>
      </c>
      <c r="S208" s="46">
        <f>IF(A208="","",RANK(R208,$R$2:$R$500,0))</f>
        <v/>
      </c>
    </row>
    <row r="209" ht="22" customHeight="1">
      <c r="A209" s="48" t="n"/>
      <c r="B209" s="51" t="n"/>
      <c r="C209" s="51" t="n"/>
      <c r="D209" s="51" t="n"/>
      <c r="E209" s="51" t="n"/>
      <c r="F209" s="48" t="n"/>
      <c r="G209" s="48" t="n"/>
      <c r="H209" s="48" t="n"/>
      <c r="I209" s="51" t="n"/>
      <c r="J209" s="51" t="n"/>
      <c r="K209" s="51">
        <f>IF(A209="","",B209+C209)</f>
        <v/>
      </c>
      <c r="L209" s="51">
        <f>IF(A209="","",K209/12)</f>
        <v/>
      </c>
      <c r="M209" s="51">
        <f>IF(A209="","",K209/2080)</f>
        <v/>
      </c>
      <c r="N209" s="51">
        <f>IF(A209="","",B209+C209+D209+E209+I209+J209)</f>
        <v/>
      </c>
      <c r="O209" s="51">
        <f>IF(A209="","",N209*0.25)</f>
        <v/>
      </c>
      <c r="P209" s="51">
        <f>IF(A209="","",N209-O209)</f>
        <v/>
      </c>
      <c r="Q209" s="51">
        <f>IF(A209="","",ROUND(B209*0.4+C209*0.1+D209*0.1+E209*0.1+IF(G209="Yes",5000,0)*0.1+F209*500*0.1+IF(H209="Yes",5000,0)*0.1,0))</f>
        <v/>
      </c>
      <c r="R209" s="48">
        <f>IF(A209="","",ROUND(Q209/1000,1))</f>
        <v/>
      </c>
      <c r="S209" s="48">
        <f>IF(A209="","",RANK(R209,$R$2:$R$500,0))</f>
        <v/>
      </c>
    </row>
    <row r="210" ht="22" customHeight="1">
      <c r="A210" s="46" t="n"/>
      <c r="B210" s="50" t="n"/>
      <c r="C210" s="50" t="n"/>
      <c r="D210" s="50" t="n"/>
      <c r="E210" s="50" t="n"/>
      <c r="F210" s="46" t="n"/>
      <c r="G210" s="46" t="n"/>
      <c r="H210" s="46" t="n"/>
      <c r="I210" s="50" t="n"/>
      <c r="J210" s="50" t="n"/>
      <c r="K210" s="50">
        <f>IF(A210="","",B210+C210)</f>
        <v/>
      </c>
      <c r="L210" s="50">
        <f>IF(A210="","",K210/12)</f>
        <v/>
      </c>
      <c r="M210" s="50">
        <f>IF(A210="","",K210/2080)</f>
        <v/>
      </c>
      <c r="N210" s="50">
        <f>IF(A210="","",B210+C210+D210+E210+I210+J210)</f>
        <v/>
      </c>
      <c r="O210" s="50">
        <f>IF(A210="","",N210*0.25)</f>
        <v/>
      </c>
      <c r="P210" s="50">
        <f>IF(A210="","",N210-O210)</f>
        <v/>
      </c>
      <c r="Q210" s="50">
        <f>IF(A210="","",ROUND(B210*0.4+C210*0.1+D210*0.1+E210*0.1+IF(G210="Yes",5000,0)*0.1+F210*500*0.1+IF(H210="Yes",5000,0)*0.1,0))</f>
        <v/>
      </c>
      <c r="R210" s="46">
        <f>IF(A210="","",ROUND(Q210/1000,1))</f>
        <v/>
      </c>
      <c r="S210" s="46">
        <f>IF(A210="","",RANK(R210,$R$2:$R$500,0))</f>
        <v/>
      </c>
    </row>
    <row r="211" ht="22" customHeight="1">
      <c r="A211" s="48" t="n"/>
      <c r="B211" s="51" t="n"/>
      <c r="C211" s="51" t="n"/>
      <c r="D211" s="51" t="n"/>
      <c r="E211" s="51" t="n"/>
      <c r="F211" s="48" t="n"/>
      <c r="G211" s="48" t="n"/>
      <c r="H211" s="48" t="n"/>
      <c r="I211" s="51" t="n"/>
      <c r="J211" s="51" t="n"/>
      <c r="K211" s="51">
        <f>IF(A211="","",B211+C211)</f>
        <v/>
      </c>
      <c r="L211" s="51">
        <f>IF(A211="","",K211/12)</f>
        <v/>
      </c>
      <c r="M211" s="51">
        <f>IF(A211="","",K211/2080)</f>
        <v/>
      </c>
      <c r="N211" s="51">
        <f>IF(A211="","",B211+C211+D211+E211+I211+J211)</f>
        <v/>
      </c>
      <c r="O211" s="51">
        <f>IF(A211="","",N211*0.25)</f>
        <v/>
      </c>
      <c r="P211" s="51">
        <f>IF(A211="","",N211-O211)</f>
        <v/>
      </c>
      <c r="Q211" s="51">
        <f>IF(A211="","",ROUND(B211*0.4+C211*0.1+D211*0.1+E211*0.1+IF(G211="Yes",5000,0)*0.1+F211*500*0.1+IF(H211="Yes",5000,0)*0.1,0))</f>
        <v/>
      </c>
      <c r="R211" s="48">
        <f>IF(A211="","",ROUND(Q211/1000,1))</f>
        <v/>
      </c>
      <c r="S211" s="48">
        <f>IF(A211="","",RANK(R211,$R$2:$R$500,0))</f>
        <v/>
      </c>
    </row>
    <row r="212" ht="22" customHeight="1">
      <c r="A212" s="46" t="n"/>
      <c r="B212" s="50" t="n"/>
      <c r="C212" s="50" t="n"/>
      <c r="D212" s="50" t="n"/>
      <c r="E212" s="50" t="n"/>
      <c r="F212" s="46" t="n"/>
      <c r="G212" s="46" t="n"/>
      <c r="H212" s="46" t="n"/>
      <c r="I212" s="50" t="n"/>
      <c r="J212" s="50" t="n"/>
      <c r="K212" s="50">
        <f>IF(A212="","",B212+C212)</f>
        <v/>
      </c>
      <c r="L212" s="50">
        <f>IF(A212="","",K212/12)</f>
        <v/>
      </c>
      <c r="M212" s="50">
        <f>IF(A212="","",K212/2080)</f>
        <v/>
      </c>
      <c r="N212" s="50">
        <f>IF(A212="","",B212+C212+D212+E212+I212+J212)</f>
        <v/>
      </c>
      <c r="O212" s="50">
        <f>IF(A212="","",N212*0.25)</f>
        <v/>
      </c>
      <c r="P212" s="50">
        <f>IF(A212="","",N212-O212)</f>
        <v/>
      </c>
      <c r="Q212" s="50">
        <f>IF(A212="","",ROUND(B212*0.4+C212*0.1+D212*0.1+E212*0.1+IF(G212="Yes",5000,0)*0.1+F212*500*0.1+IF(H212="Yes",5000,0)*0.1,0))</f>
        <v/>
      </c>
      <c r="R212" s="46">
        <f>IF(A212="","",ROUND(Q212/1000,1))</f>
        <v/>
      </c>
      <c r="S212" s="46">
        <f>IF(A212="","",RANK(R212,$R$2:$R$500,0))</f>
        <v/>
      </c>
    </row>
    <row r="213" ht="22" customHeight="1">
      <c r="A213" s="48" t="n"/>
      <c r="B213" s="51" t="n"/>
      <c r="C213" s="51" t="n"/>
      <c r="D213" s="51" t="n"/>
      <c r="E213" s="51" t="n"/>
      <c r="F213" s="48" t="n"/>
      <c r="G213" s="48" t="n"/>
      <c r="H213" s="48" t="n"/>
      <c r="I213" s="51" t="n"/>
      <c r="J213" s="51" t="n"/>
      <c r="K213" s="51">
        <f>IF(A213="","",B213+C213)</f>
        <v/>
      </c>
      <c r="L213" s="51">
        <f>IF(A213="","",K213/12)</f>
        <v/>
      </c>
      <c r="M213" s="51">
        <f>IF(A213="","",K213/2080)</f>
        <v/>
      </c>
      <c r="N213" s="51">
        <f>IF(A213="","",B213+C213+D213+E213+I213+J213)</f>
        <v/>
      </c>
      <c r="O213" s="51">
        <f>IF(A213="","",N213*0.25)</f>
        <v/>
      </c>
      <c r="P213" s="51">
        <f>IF(A213="","",N213-O213)</f>
        <v/>
      </c>
      <c r="Q213" s="51">
        <f>IF(A213="","",ROUND(B213*0.4+C213*0.1+D213*0.1+E213*0.1+IF(G213="Yes",5000,0)*0.1+F213*500*0.1+IF(H213="Yes",5000,0)*0.1,0))</f>
        <v/>
      </c>
      <c r="R213" s="48">
        <f>IF(A213="","",ROUND(Q213/1000,1))</f>
        <v/>
      </c>
      <c r="S213" s="48">
        <f>IF(A213="","",RANK(R213,$R$2:$R$500,0))</f>
        <v/>
      </c>
    </row>
    <row r="214" ht="22" customHeight="1">
      <c r="A214" s="46" t="n"/>
      <c r="B214" s="50" t="n"/>
      <c r="C214" s="50" t="n"/>
      <c r="D214" s="50" t="n"/>
      <c r="E214" s="50" t="n"/>
      <c r="F214" s="46" t="n"/>
      <c r="G214" s="46" t="n"/>
      <c r="H214" s="46" t="n"/>
      <c r="I214" s="50" t="n"/>
      <c r="J214" s="50" t="n"/>
      <c r="K214" s="50">
        <f>IF(A214="","",B214+C214)</f>
        <v/>
      </c>
      <c r="L214" s="50">
        <f>IF(A214="","",K214/12)</f>
        <v/>
      </c>
      <c r="M214" s="50">
        <f>IF(A214="","",K214/2080)</f>
        <v/>
      </c>
      <c r="N214" s="50">
        <f>IF(A214="","",B214+C214+D214+E214+I214+J214)</f>
        <v/>
      </c>
      <c r="O214" s="50">
        <f>IF(A214="","",N214*0.25)</f>
        <v/>
      </c>
      <c r="P214" s="50">
        <f>IF(A214="","",N214-O214)</f>
        <v/>
      </c>
      <c r="Q214" s="50">
        <f>IF(A214="","",ROUND(B214*0.4+C214*0.1+D214*0.1+E214*0.1+IF(G214="Yes",5000,0)*0.1+F214*500*0.1+IF(H214="Yes",5000,0)*0.1,0))</f>
        <v/>
      </c>
      <c r="R214" s="46">
        <f>IF(A214="","",ROUND(Q214/1000,1))</f>
        <v/>
      </c>
      <c r="S214" s="46">
        <f>IF(A214="","",RANK(R214,$R$2:$R$500,0))</f>
        <v/>
      </c>
    </row>
    <row r="215" ht="22" customHeight="1">
      <c r="A215" s="48" t="n"/>
      <c r="B215" s="51" t="n"/>
      <c r="C215" s="51" t="n"/>
      <c r="D215" s="51" t="n"/>
      <c r="E215" s="51" t="n"/>
      <c r="F215" s="48" t="n"/>
      <c r="G215" s="48" t="n"/>
      <c r="H215" s="48" t="n"/>
      <c r="I215" s="51" t="n"/>
      <c r="J215" s="51" t="n"/>
      <c r="K215" s="51">
        <f>IF(A215="","",B215+C215)</f>
        <v/>
      </c>
      <c r="L215" s="51">
        <f>IF(A215="","",K215/12)</f>
        <v/>
      </c>
      <c r="M215" s="51">
        <f>IF(A215="","",K215/2080)</f>
        <v/>
      </c>
      <c r="N215" s="51">
        <f>IF(A215="","",B215+C215+D215+E215+I215+J215)</f>
        <v/>
      </c>
      <c r="O215" s="51">
        <f>IF(A215="","",N215*0.25)</f>
        <v/>
      </c>
      <c r="P215" s="51">
        <f>IF(A215="","",N215-O215)</f>
        <v/>
      </c>
      <c r="Q215" s="51">
        <f>IF(A215="","",ROUND(B215*0.4+C215*0.1+D215*0.1+E215*0.1+IF(G215="Yes",5000,0)*0.1+F215*500*0.1+IF(H215="Yes",5000,0)*0.1,0))</f>
        <v/>
      </c>
      <c r="R215" s="48">
        <f>IF(A215="","",ROUND(Q215/1000,1))</f>
        <v/>
      </c>
      <c r="S215" s="48">
        <f>IF(A215="","",RANK(R215,$R$2:$R$500,0))</f>
        <v/>
      </c>
    </row>
    <row r="216" ht="22" customHeight="1">
      <c r="A216" s="46" t="n"/>
      <c r="B216" s="50" t="n"/>
      <c r="C216" s="50" t="n"/>
      <c r="D216" s="50" t="n"/>
      <c r="E216" s="50" t="n"/>
      <c r="F216" s="46" t="n"/>
      <c r="G216" s="46" t="n"/>
      <c r="H216" s="46" t="n"/>
      <c r="I216" s="50" t="n"/>
      <c r="J216" s="50" t="n"/>
      <c r="K216" s="50">
        <f>IF(A216="","",B216+C216)</f>
        <v/>
      </c>
      <c r="L216" s="50">
        <f>IF(A216="","",K216/12)</f>
        <v/>
      </c>
      <c r="M216" s="50">
        <f>IF(A216="","",K216/2080)</f>
        <v/>
      </c>
      <c r="N216" s="50">
        <f>IF(A216="","",B216+C216+D216+E216+I216+J216)</f>
        <v/>
      </c>
      <c r="O216" s="50">
        <f>IF(A216="","",N216*0.25)</f>
        <v/>
      </c>
      <c r="P216" s="50">
        <f>IF(A216="","",N216-O216)</f>
        <v/>
      </c>
      <c r="Q216" s="50">
        <f>IF(A216="","",ROUND(B216*0.4+C216*0.1+D216*0.1+E216*0.1+IF(G216="Yes",5000,0)*0.1+F216*500*0.1+IF(H216="Yes",5000,0)*0.1,0))</f>
        <v/>
      </c>
      <c r="R216" s="46">
        <f>IF(A216="","",ROUND(Q216/1000,1))</f>
        <v/>
      </c>
      <c r="S216" s="46">
        <f>IF(A216="","",RANK(R216,$R$2:$R$500,0))</f>
        <v/>
      </c>
    </row>
    <row r="217" ht="22" customHeight="1">
      <c r="A217" s="48" t="n"/>
      <c r="B217" s="51" t="n"/>
      <c r="C217" s="51" t="n"/>
      <c r="D217" s="51" t="n"/>
      <c r="E217" s="51" t="n"/>
      <c r="F217" s="48" t="n"/>
      <c r="G217" s="48" t="n"/>
      <c r="H217" s="48" t="n"/>
      <c r="I217" s="51" t="n"/>
      <c r="J217" s="51" t="n"/>
      <c r="K217" s="51">
        <f>IF(A217="","",B217+C217)</f>
        <v/>
      </c>
      <c r="L217" s="51">
        <f>IF(A217="","",K217/12)</f>
        <v/>
      </c>
      <c r="M217" s="51">
        <f>IF(A217="","",K217/2080)</f>
        <v/>
      </c>
      <c r="N217" s="51">
        <f>IF(A217="","",B217+C217+D217+E217+I217+J217)</f>
        <v/>
      </c>
      <c r="O217" s="51">
        <f>IF(A217="","",N217*0.25)</f>
        <v/>
      </c>
      <c r="P217" s="51">
        <f>IF(A217="","",N217-O217)</f>
        <v/>
      </c>
      <c r="Q217" s="51">
        <f>IF(A217="","",ROUND(B217*0.4+C217*0.1+D217*0.1+E217*0.1+IF(G217="Yes",5000,0)*0.1+F217*500*0.1+IF(H217="Yes",5000,0)*0.1,0))</f>
        <v/>
      </c>
      <c r="R217" s="48">
        <f>IF(A217="","",ROUND(Q217/1000,1))</f>
        <v/>
      </c>
      <c r="S217" s="48">
        <f>IF(A217="","",RANK(R217,$R$2:$R$500,0))</f>
        <v/>
      </c>
    </row>
    <row r="218" ht="22" customHeight="1">
      <c r="A218" s="46" t="n"/>
      <c r="B218" s="50" t="n"/>
      <c r="C218" s="50" t="n"/>
      <c r="D218" s="50" t="n"/>
      <c r="E218" s="50" t="n"/>
      <c r="F218" s="46" t="n"/>
      <c r="G218" s="46" t="n"/>
      <c r="H218" s="46" t="n"/>
      <c r="I218" s="50" t="n"/>
      <c r="J218" s="50" t="n"/>
      <c r="K218" s="50">
        <f>IF(A218="","",B218+C218)</f>
        <v/>
      </c>
      <c r="L218" s="50">
        <f>IF(A218="","",K218/12)</f>
        <v/>
      </c>
      <c r="M218" s="50">
        <f>IF(A218="","",K218/2080)</f>
        <v/>
      </c>
      <c r="N218" s="50">
        <f>IF(A218="","",B218+C218+D218+E218+I218+J218)</f>
        <v/>
      </c>
      <c r="O218" s="50">
        <f>IF(A218="","",N218*0.25)</f>
        <v/>
      </c>
      <c r="P218" s="50">
        <f>IF(A218="","",N218-O218)</f>
        <v/>
      </c>
      <c r="Q218" s="50">
        <f>IF(A218="","",ROUND(B218*0.4+C218*0.1+D218*0.1+E218*0.1+IF(G218="Yes",5000,0)*0.1+F218*500*0.1+IF(H218="Yes",5000,0)*0.1,0))</f>
        <v/>
      </c>
      <c r="R218" s="46">
        <f>IF(A218="","",ROUND(Q218/1000,1))</f>
        <v/>
      </c>
      <c r="S218" s="46">
        <f>IF(A218="","",RANK(R218,$R$2:$R$500,0))</f>
        <v/>
      </c>
    </row>
    <row r="219" ht="22" customHeight="1">
      <c r="A219" s="48" t="n"/>
      <c r="B219" s="51" t="n"/>
      <c r="C219" s="51" t="n"/>
      <c r="D219" s="51" t="n"/>
      <c r="E219" s="51" t="n"/>
      <c r="F219" s="48" t="n"/>
      <c r="G219" s="48" t="n"/>
      <c r="H219" s="48" t="n"/>
      <c r="I219" s="51" t="n"/>
      <c r="J219" s="51" t="n"/>
      <c r="K219" s="51">
        <f>IF(A219="","",B219+C219)</f>
        <v/>
      </c>
      <c r="L219" s="51">
        <f>IF(A219="","",K219/12)</f>
        <v/>
      </c>
      <c r="M219" s="51">
        <f>IF(A219="","",K219/2080)</f>
        <v/>
      </c>
      <c r="N219" s="51">
        <f>IF(A219="","",B219+C219+D219+E219+I219+J219)</f>
        <v/>
      </c>
      <c r="O219" s="51">
        <f>IF(A219="","",N219*0.25)</f>
        <v/>
      </c>
      <c r="P219" s="51">
        <f>IF(A219="","",N219-O219)</f>
        <v/>
      </c>
      <c r="Q219" s="51">
        <f>IF(A219="","",ROUND(B219*0.4+C219*0.1+D219*0.1+E219*0.1+IF(G219="Yes",5000,0)*0.1+F219*500*0.1+IF(H219="Yes",5000,0)*0.1,0))</f>
        <v/>
      </c>
      <c r="R219" s="48">
        <f>IF(A219="","",ROUND(Q219/1000,1))</f>
        <v/>
      </c>
      <c r="S219" s="48">
        <f>IF(A219="","",RANK(R219,$R$2:$R$500,0))</f>
        <v/>
      </c>
    </row>
    <row r="220" ht="22" customHeight="1">
      <c r="A220" s="46" t="n"/>
      <c r="B220" s="50" t="n"/>
      <c r="C220" s="50" t="n"/>
      <c r="D220" s="50" t="n"/>
      <c r="E220" s="50" t="n"/>
      <c r="F220" s="46" t="n"/>
      <c r="G220" s="46" t="n"/>
      <c r="H220" s="46" t="n"/>
      <c r="I220" s="50" t="n"/>
      <c r="J220" s="50" t="n"/>
      <c r="K220" s="50">
        <f>IF(A220="","",B220+C220)</f>
        <v/>
      </c>
      <c r="L220" s="50">
        <f>IF(A220="","",K220/12)</f>
        <v/>
      </c>
      <c r="M220" s="50">
        <f>IF(A220="","",K220/2080)</f>
        <v/>
      </c>
      <c r="N220" s="50">
        <f>IF(A220="","",B220+C220+D220+E220+I220+J220)</f>
        <v/>
      </c>
      <c r="O220" s="50">
        <f>IF(A220="","",N220*0.25)</f>
        <v/>
      </c>
      <c r="P220" s="50">
        <f>IF(A220="","",N220-O220)</f>
        <v/>
      </c>
      <c r="Q220" s="50">
        <f>IF(A220="","",ROUND(B220*0.4+C220*0.1+D220*0.1+E220*0.1+IF(G220="Yes",5000,0)*0.1+F220*500*0.1+IF(H220="Yes",5000,0)*0.1,0))</f>
        <v/>
      </c>
      <c r="R220" s="46">
        <f>IF(A220="","",ROUND(Q220/1000,1))</f>
        <v/>
      </c>
      <c r="S220" s="46">
        <f>IF(A220="","",RANK(R220,$R$2:$R$500,0))</f>
        <v/>
      </c>
    </row>
    <row r="221" ht="22" customHeight="1">
      <c r="A221" s="48" t="n"/>
      <c r="B221" s="51" t="n"/>
      <c r="C221" s="51" t="n"/>
      <c r="D221" s="51" t="n"/>
      <c r="E221" s="51" t="n"/>
      <c r="F221" s="48" t="n"/>
      <c r="G221" s="48" t="n"/>
      <c r="H221" s="48" t="n"/>
      <c r="I221" s="51" t="n"/>
      <c r="J221" s="51" t="n"/>
      <c r="K221" s="51">
        <f>IF(A221="","",B221+C221)</f>
        <v/>
      </c>
      <c r="L221" s="51">
        <f>IF(A221="","",K221/12)</f>
        <v/>
      </c>
      <c r="M221" s="51">
        <f>IF(A221="","",K221/2080)</f>
        <v/>
      </c>
      <c r="N221" s="51">
        <f>IF(A221="","",B221+C221+D221+E221+I221+J221)</f>
        <v/>
      </c>
      <c r="O221" s="51">
        <f>IF(A221="","",N221*0.25)</f>
        <v/>
      </c>
      <c r="P221" s="51">
        <f>IF(A221="","",N221-O221)</f>
        <v/>
      </c>
      <c r="Q221" s="51">
        <f>IF(A221="","",ROUND(B221*0.4+C221*0.1+D221*0.1+E221*0.1+IF(G221="Yes",5000,0)*0.1+F221*500*0.1+IF(H221="Yes",5000,0)*0.1,0))</f>
        <v/>
      </c>
      <c r="R221" s="48">
        <f>IF(A221="","",ROUND(Q221/1000,1))</f>
        <v/>
      </c>
      <c r="S221" s="48">
        <f>IF(A221="","",RANK(R221,$R$2:$R$500,0))</f>
        <v/>
      </c>
    </row>
    <row r="222" ht="22" customHeight="1">
      <c r="A222" s="46" t="n"/>
      <c r="B222" s="50" t="n"/>
      <c r="C222" s="50" t="n"/>
      <c r="D222" s="50" t="n"/>
      <c r="E222" s="50" t="n"/>
      <c r="F222" s="46" t="n"/>
      <c r="G222" s="46" t="n"/>
      <c r="H222" s="46" t="n"/>
      <c r="I222" s="50" t="n"/>
      <c r="J222" s="50" t="n"/>
      <c r="K222" s="50">
        <f>IF(A222="","",B222+C222)</f>
        <v/>
      </c>
      <c r="L222" s="50">
        <f>IF(A222="","",K222/12)</f>
        <v/>
      </c>
      <c r="M222" s="50">
        <f>IF(A222="","",K222/2080)</f>
        <v/>
      </c>
      <c r="N222" s="50">
        <f>IF(A222="","",B222+C222+D222+E222+I222+J222)</f>
        <v/>
      </c>
      <c r="O222" s="50">
        <f>IF(A222="","",N222*0.25)</f>
        <v/>
      </c>
      <c r="P222" s="50">
        <f>IF(A222="","",N222-O222)</f>
        <v/>
      </c>
      <c r="Q222" s="50">
        <f>IF(A222="","",ROUND(B222*0.4+C222*0.1+D222*0.1+E222*0.1+IF(G222="Yes",5000,0)*0.1+F222*500*0.1+IF(H222="Yes",5000,0)*0.1,0))</f>
        <v/>
      </c>
      <c r="R222" s="46">
        <f>IF(A222="","",ROUND(Q222/1000,1))</f>
        <v/>
      </c>
      <c r="S222" s="46">
        <f>IF(A222="","",RANK(R222,$R$2:$R$500,0))</f>
        <v/>
      </c>
    </row>
    <row r="223" ht="22" customHeight="1">
      <c r="A223" s="48" t="n"/>
      <c r="B223" s="51" t="n"/>
      <c r="C223" s="51" t="n"/>
      <c r="D223" s="51" t="n"/>
      <c r="E223" s="51" t="n"/>
      <c r="F223" s="48" t="n"/>
      <c r="G223" s="48" t="n"/>
      <c r="H223" s="48" t="n"/>
      <c r="I223" s="51" t="n"/>
      <c r="J223" s="51" t="n"/>
      <c r="K223" s="51">
        <f>IF(A223="","",B223+C223)</f>
        <v/>
      </c>
      <c r="L223" s="51">
        <f>IF(A223="","",K223/12)</f>
        <v/>
      </c>
      <c r="M223" s="51">
        <f>IF(A223="","",K223/2080)</f>
        <v/>
      </c>
      <c r="N223" s="51">
        <f>IF(A223="","",B223+C223+D223+E223+I223+J223)</f>
        <v/>
      </c>
      <c r="O223" s="51">
        <f>IF(A223="","",N223*0.25)</f>
        <v/>
      </c>
      <c r="P223" s="51">
        <f>IF(A223="","",N223-O223)</f>
        <v/>
      </c>
      <c r="Q223" s="51">
        <f>IF(A223="","",ROUND(B223*0.4+C223*0.1+D223*0.1+E223*0.1+IF(G223="Yes",5000,0)*0.1+F223*500*0.1+IF(H223="Yes",5000,0)*0.1,0))</f>
        <v/>
      </c>
      <c r="R223" s="48">
        <f>IF(A223="","",ROUND(Q223/1000,1))</f>
        <v/>
      </c>
      <c r="S223" s="48">
        <f>IF(A223="","",RANK(R223,$R$2:$R$500,0))</f>
        <v/>
      </c>
    </row>
    <row r="224" ht="22" customHeight="1">
      <c r="A224" s="46" t="n"/>
      <c r="B224" s="50" t="n"/>
      <c r="C224" s="50" t="n"/>
      <c r="D224" s="50" t="n"/>
      <c r="E224" s="50" t="n"/>
      <c r="F224" s="46" t="n"/>
      <c r="G224" s="46" t="n"/>
      <c r="H224" s="46" t="n"/>
      <c r="I224" s="50" t="n"/>
      <c r="J224" s="50" t="n"/>
      <c r="K224" s="50">
        <f>IF(A224="","",B224+C224)</f>
        <v/>
      </c>
      <c r="L224" s="50">
        <f>IF(A224="","",K224/12)</f>
        <v/>
      </c>
      <c r="M224" s="50">
        <f>IF(A224="","",K224/2080)</f>
        <v/>
      </c>
      <c r="N224" s="50">
        <f>IF(A224="","",B224+C224+D224+E224+I224+J224)</f>
        <v/>
      </c>
      <c r="O224" s="50">
        <f>IF(A224="","",N224*0.25)</f>
        <v/>
      </c>
      <c r="P224" s="50">
        <f>IF(A224="","",N224-O224)</f>
        <v/>
      </c>
      <c r="Q224" s="50">
        <f>IF(A224="","",ROUND(B224*0.4+C224*0.1+D224*0.1+E224*0.1+IF(G224="Yes",5000,0)*0.1+F224*500*0.1+IF(H224="Yes",5000,0)*0.1,0))</f>
        <v/>
      </c>
      <c r="R224" s="46">
        <f>IF(A224="","",ROUND(Q224/1000,1))</f>
        <v/>
      </c>
      <c r="S224" s="46">
        <f>IF(A224="","",RANK(R224,$R$2:$R$500,0))</f>
        <v/>
      </c>
    </row>
    <row r="225" ht="22" customHeight="1">
      <c r="A225" s="48" t="n"/>
      <c r="B225" s="51" t="n"/>
      <c r="C225" s="51" t="n"/>
      <c r="D225" s="51" t="n"/>
      <c r="E225" s="51" t="n"/>
      <c r="F225" s="48" t="n"/>
      <c r="G225" s="48" t="n"/>
      <c r="H225" s="48" t="n"/>
      <c r="I225" s="51" t="n"/>
      <c r="J225" s="51" t="n"/>
      <c r="K225" s="51">
        <f>IF(A225="","",B225+C225)</f>
        <v/>
      </c>
      <c r="L225" s="51">
        <f>IF(A225="","",K225/12)</f>
        <v/>
      </c>
      <c r="M225" s="51">
        <f>IF(A225="","",K225/2080)</f>
        <v/>
      </c>
      <c r="N225" s="51">
        <f>IF(A225="","",B225+C225+D225+E225+I225+J225)</f>
        <v/>
      </c>
      <c r="O225" s="51">
        <f>IF(A225="","",N225*0.25)</f>
        <v/>
      </c>
      <c r="P225" s="51">
        <f>IF(A225="","",N225-O225)</f>
        <v/>
      </c>
      <c r="Q225" s="51">
        <f>IF(A225="","",ROUND(B225*0.4+C225*0.1+D225*0.1+E225*0.1+IF(G225="Yes",5000,0)*0.1+F225*500*0.1+IF(H225="Yes",5000,0)*0.1,0))</f>
        <v/>
      </c>
      <c r="R225" s="48">
        <f>IF(A225="","",ROUND(Q225/1000,1))</f>
        <v/>
      </c>
      <c r="S225" s="48">
        <f>IF(A225="","",RANK(R225,$R$2:$R$500,0))</f>
        <v/>
      </c>
    </row>
    <row r="226" ht="22" customHeight="1">
      <c r="A226" s="46" t="n"/>
      <c r="B226" s="50" t="n"/>
      <c r="C226" s="50" t="n"/>
      <c r="D226" s="50" t="n"/>
      <c r="E226" s="50" t="n"/>
      <c r="F226" s="46" t="n"/>
      <c r="G226" s="46" t="n"/>
      <c r="H226" s="46" t="n"/>
      <c r="I226" s="50" t="n"/>
      <c r="J226" s="50" t="n"/>
      <c r="K226" s="50">
        <f>IF(A226="","",B226+C226)</f>
        <v/>
      </c>
      <c r="L226" s="50">
        <f>IF(A226="","",K226/12)</f>
        <v/>
      </c>
      <c r="M226" s="50">
        <f>IF(A226="","",K226/2080)</f>
        <v/>
      </c>
      <c r="N226" s="50">
        <f>IF(A226="","",B226+C226+D226+E226+I226+J226)</f>
        <v/>
      </c>
      <c r="O226" s="50">
        <f>IF(A226="","",N226*0.25)</f>
        <v/>
      </c>
      <c r="P226" s="50">
        <f>IF(A226="","",N226-O226)</f>
        <v/>
      </c>
      <c r="Q226" s="50">
        <f>IF(A226="","",ROUND(B226*0.4+C226*0.1+D226*0.1+E226*0.1+IF(G226="Yes",5000,0)*0.1+F226*500*0.1+IF(H226="Yes",5000,0)*0.1,0))</f>
        <v/>
      </c>
      <c r="R226" s="46">
        <f>IF(A226="","",ROUND(Q226/1000,1))</f>
        <v/>
      </c>
      <c r="S226" s="46">
        <f>IF(A226="","",RANK(R226,$R$2:$R$500,0))</f>
        <v/>
      </c>
    </row>
    <row r="227" ht="22" customHeight="1">
      <c r="A227" s="48" t="n"/>
      <c r="B227" s="51" t="n"/>
      <c r="C227" s="51" t="n"/>
      <c r="D227" s="51" t="n"/>
      <c r="E227" s="51" t="n"/>
      <c r="F227" s="48" t="n"/>
      <c r="G227" s="48" t="n"/>
      <c r="H227" s="48" t="n"/>
      <c r="I227" s="51" t="n"/>
      <c r="J227" s="51" t="n"/>
      <c r="K227" s="51">
        <f>IF(A227="","",B227+C227)</f>
        <v/>
      </c>
      <c r="L227" s="51">
        <f>IF(A227="","",K227/12)</f>
        <v/>
      </c>
      <c r="M227" s="51">
        <f>IF(A227="","",K227/2080)</f>
        <v/>
      </c>
      <c r="N227" s="51">
        <f>IF(A227="","",B227+C227+D227+E227+I227+J227)</f>
        <v/>
      </c>
      <c r="O227" s="51">
        <f>IF(A227="","",N227*0.25)</f>
        <v/>
      </c>
      <c r="P227" s="51">
        <f>IF(A227="","",N227-O227)</f>
        <v/>
      </c>
      <c r="Q227" s="51">
        <f>IF(A227="","",ROUND(B227*0.4+C227*0.1+D227*0.1+E227*0.1+IF(G227="Yes",5000,0)*0.1+F227*500*0.1+IF(H227="Yes",5000,0)*0.1,0))</f>
        <v/>
      </c>
      <c r="R227" s="48">
        <f>IF(A227="","",ROUND(Q227/1000,1))</f>
        <v/>
      </c>
      <c r="S227" s="48">
        <f>IF(A227="","",RANK(R227,$R$2:$R$500,0))</f>
        <v/>
      </c>
    </row>
    <row r="228" ht="22" customHeight="1">
      <c r="A228" s="46" t="n"/>
      <c r="B228" s="50" t="n"/>
      <c r="C228" s="50" t="n"/>
      <c r="D228" s="50" t="n"/>
      <c r="E228" s="50" t="n"/>
      <c r="F228" s="46" t="n"/>
      <c r="G228" s="46" t="n"/>
      <c r="H228" s="46" t="n"/>
      <c r="I228" s="50" t="n"/>
      <c r="J228" s="50" t="n"/>
      <c r="K228" s="50">
        <f>IF(A228="","",B228+C228)</f>
        <v/>
      </c>
      <c r="L228" s="50">
        <f>IF(A228="","",K228/12)</f>
        <v/>
      </c>
      <c r="M228" s="50">
        <f>IF(A228="","",K228/2080)</f>
        <v/>
      </c>
      <c r="N228" s="50">
        <f>IF(A228="","",B228+C228+D228+E228+I228+J228)</f>
        <v/>
      </c>
      <c r="O228" s="50">
        <f>IF(A228="","",N228*0.25)</f>
        <v/>
      </c>
      <c r="P228" s="50">
        <f>IF(A228="","",N228-O228)</f>
        <v/>
      </c>
      <c r="Q228" s="50">
        <f>IF(A228="","",ROUND(B228*0.4+C228*0.1+D228*0.1+E228*0.1+IF(G228="Yes",5000,0)*0.1+F228*500*0.1+IF(H228="Yes",5000,0)*0.1,0))</f>
        <v/>
      </c>
      <c r="R228" s="46">
        <f>IF(A228="","",ROUND(Q228/1000,1))</f>
        <v/>
      </c>
      <c r="S228" s="46">
        <f>IF(A228="","",RANK(R228,$R$2:$R$500,0))</f>
        <v/>
      </c>
    </row>
    <row r="229" ht="22" customHeight="1">
      <c r="A229" s="48" t="n"/>
      <c r="B229" s="51" t="n"/>
      <c r="C229" s="51" t="n"/>
      <c r="D229" s="51" t="n"/>
      <c r="E229" s="51" t="n"/>
      <c r="F229" s="48" t="n"/>
      <c r="G229" s="48" t="n"/>
      <c r="H229" s="48" t="n"/>
      <c r="I229" s="51" t="n"/>
      <c r="J229" s="51" t="n"/>
      <c r="K229" s="51">
        <f>IF(A229="","",B229+C229)</f>
        <v/>
      </c>
      <c r="L229" s="51">
        <f>IF(A229="","",K229/12)</f>
        <v/>
      </c>
      <c r="M229" s="51">
        <f>IF(A229="","",K229/2080)</f>
        <v/>
      </c>
      <c r="N229" s="51">
        <f>IF(A229="","",B229+C229+D229+E229+I229+J229)</f>
        <v/>
      </c>
      <c r="O229" s="51">
        <f>IF(A229="","",N229*0.25)</f>
        <v/>
      </c>
      <c r="P229" s="51">
        <f>IF(A229="","",N229-O229)</f>
        <v/>
      </c>
      <c r="Q229" s="51">
        <f>IF(A229="","",ROUND(B229*0.4+C229*0.1+D229*0.1+E229*0.1+IF(G229="Yes",5000,0)*0.1+F229*500*0.1+IF(H229="Yes",5000,0)*0.1,0))</f>
        <v/>
      </c>
      <c r="R229" s="48">
        <f>IF(A229="","",ROUND(Q229/1000,1))</f>
        <v/>
      </c>
      <c r="S229" s="48">
        <f>IF(A229="","",RANK(R229,$R$2:$R$500,0))</f>
        <v/>
      </c>
    </row>
    <row r="230" ht="22" customHeight="1">
      <c r="A230" s="46" t="n"/>
      <c r="B230" s="50" t="n"/>
      <c r="C230" s="50" t="n"/>
      <c r="D230" s="50" t="n"/>
      <c r="E230" s="50" t="n"/>
      <c r="F230" s="46" t="n"/>
      <c r="G230" s="46" t="n"/>
      <c r="H230" s="46" t="n"/>
      <c r="I230" s="50" t="n"/>
      <c r="J230" s="50" t="n"/>
      <c r="K230" s="50">
        <f>IF(A230="","",B230+C230)</f>
        <v/>
      </c>
      <c r="L230" s="50">
        <f>IF(A230="","",K230/12)</f>
        <v/>
      </c>
      <c r="M230" s="50">
        <f>IF(A230="","",K230/2080)</f>
        <v/>
      </c>
      <c r="N230" s="50">
        <f>IF(A230="","",B230+C230+D230+E230+I230+J230)</f>
        <v/>
      </c>
      <c r="O230" s="50">
        <f>IF(A230="","",N230*0.25)</f>
        <v/>
      </c>
      <c r="P230" s="50">
        <f>IF(A230="","",N230-O230)</f>
        <v/>
      </c>
      <c r="Q230" s="50">
        <f>IF(A230="","",ROUND(B230*0.4+C230*0.1+D230*0.1+E230*0.1+IF(G230="Yes",5000,0)*0.1+F230*500*0.1+IF(H230="Yes",5000,0)*0.1,0))</f>
        <v/>
      </c>
      <c r="R230" s="46">
        <f>IF(A230="","",ROUND(Q230/1000,1))</f>
        <v/>
      </c>
      <c r="S230" s="46">
        <f>IF(A230="","",RANK(R230,$R$2:$R$500,0))</f>
        <v/>
      </c>
    </row>
    <row r="231" ht="22" customHeight="1">
      <c r="A231" s="48" t="n"/>
      <c r="B231" s="51" t="n"/>
      <c r="C231" s="51" t="n"/>
      <c r="D231" s="51" t="n"/>
      <c r="E231" s="51" t="n"/>
      <c r="F231" s="48" t="n"/>
      <c r="G231" s="48" t="n"/>
      <c r="H231" s="48" t="n"/>
      <c r="I231" s="51" t="n"/>
      <c r="J231" s="51" t="n"/>
      <c r="K231" s="51">
        <f>IF(A231="","",B231+C231)</f>
        <v/>
      </c>
      <c r="L231" s="51">
        <f>IF(A231="","",K231/12)</f>
        <v/>
      </c>
      <c r="M231" s="51">
        <f>IF(A231="","",K231/2080)</f>
        <v/>
      </c>
      <c r="N231" s="51">
        <f>IF(A231="","",B231+C231+D231+E231+I231+J231)</f>
        <v/>
      </c>
      <c r="O231" s="51">
        <f>IF(A231="","",N231*0.25)</f>
        <v/>
      </c>
      <c r="P231" s="51">
        <f>IF(A231="","",N231-O231)</f>
        <v/>
      </c>
      <c r="Q231" s="51">
        <f>IF(A231="","",ROUND(B231*0.4+C231*0.1+D231*0.1+E231*0.1+IF(G231="Yes",5000,0)*0.1+F231*500*0.1+IF(H231="Yes",5000,0)*0.1,0))</f>
        <v/>
      </c>
      <c r="R231" s="48">
        <f>IF(A231="","",ROUND(Q231/1000,1))</f>
        <v/>
      </c>
      <c r="S231" s="48">
        <f>IF(A231="","",RANK(R231,$R$2:$R$500,0))</f>
        <v/>
      </c>
    </row>
    <row r="232" ht="22" customHeight="1">
      <c r="A232" s="46" t="n"/>
      <c r="B232" s="50" t="n"/>
      <c r="C232" s="50" t="n"/>
      <c r="D232" s="50" t="n"/>
      <c r="E232" s="50" t="n"/>
      <c r="F232" s="46" t="n"/>
      <c r="G232" s="46" t="n"/>
      <c r="H232" s="46" t="n"/>
      <c r="I232" s="50" t="n"/>
      <c r="J232" s="50" t="n"/>
      <c r="K232" s="50">
        <f>IF(A232="","",B232+C232)</f>
        <v/>
      </c>
      <c r="L232" s="50">
        <f>IF(A232="","",K232/12)</f>
        <v/>
      </c>
      <c r="M232" s="50">
        <f>IF(A232="","",K232/2080)</f>
        <v/>
      </c>
      <c r="N232" s="50">
        <f>IF(A232="","",B232+C232+D232+E232+I232+J232)</f>
        <v/>
      </c>
      <c r="O232" s="50">
        <f>IF(A232="","",N232*0.25)</f>
        <v/>
      </c>
      <c r="P232" s="50">
        <f>IF(A232="","",N232-O232)</f>
        <v/>
      </c>
      <c r="Q232" s="50">
        <f>IF(A232="","",ROUND(B232*0.4+C232*0.1+D232*0.1+E232*0.1+IF(G232="Yes",5000,0)*0.1+F232*500*0.1+IF(H232="Yes",5000,0)*0.1,0))</f>
        <v/>
      </c>
      <c r="R232" s="46">
        <f>IF(A232="","",ROUND(Q232/1000,1))</f>
        <v/>
      </c>
      <c r="S232" s="46">
        <f>IF(A232="","",RANK(R232,$R$2:$R$500,0))</f>
        <v/>
      </c>
    </row>
    <row r="233" ht="22" customHeight="1">
      <c r="A233" s="48" t="n"/>
      <c r="B233" s="51" t="n"/>
      <c r="C233" s="51" t="n"/>
      <c r="D233" s="51" t="n"/>
      <c r="E233" s="51" t="n"/>
      <c r="F233" s="48" t="n"/>
      <c r="G233" s="48" t="n"/>
      <c r="H233" s="48" t="n"/>
      <c r="I233" s="51" t="n"/>
      <c r="J233" s="51" t="n"/>
      <c r="K233" s="51">
        <f>IF(A233="","",B233+C233)</f>
        <v/>
      </c>
      <c r="L233" s="51">
        <f>IF(A233="","",K233/12)</f>
        <v/>
      </c>
      <c r="M233" s="51">
        <f>IF(A233="","",K233/2080)</f>
        <v/>
      </c>
      <c r="N233" s="51">
        <f>IF(A233="","",B233+C233+D233+E233+I233+J233)</f>
        <v/>
      </c>
      <c r="O233" s="51">
        <f>IF(A233="","",N233*0.25)</f>
        <v/>
      </c>
      <c r="P233" s="51">
        <f>IF(A233="","",N233-O233)</f>
        <v/>
      </c>
      <c r="Q233" s="51">
        <f>IF(A233="","",ROUND(B233*0.4+C233*0.1+D233*0.1+E233*0.1+IF(G233="Yes",5000,0)*0.1+F233*500*0.1+IF(H233="Yes",5000,0)*0.1,0))</f>
        <v/>
      </c>
      <c r="R233" s="48">
        <f>IF(A233="","",ROUND(Q233/1000,1))</f>
        <v/>
      </c>
      <c r="S233" s="48">
        <f>IF(A233="","",RANK(R233,$R$2:$R$500,0))</f>
        <v/>
      </c>
    </row>
    <row r="234" ht="22" customHeight="1">
      <c r="A234" s="46" t="n"/>
      <c r="B234" s="50" t="n"/>
      <c r="C234" s="50" t="n"/>
      <c r="D234" s="50" t="n"/>
      <c r="E234" s="50" t="n"/>
      <c r="F234" s="46" t="n"/>
      <c r="G234" s="46" t="n"/>
      <c r="H234" s="46" t="n"/>
      <c r="I234" s="50" t="n"/>
      <c r="J234" s="50" t="n"/>
      <c r="K234" s="50">
        <f>IF(A234="","",B234+C234)</f>
        <v/>
      </c>
      <c r="L234" s="50">
        <f>IF(A234="","",K234/12)</f>
        <v/>
      </c>
      <c r="M234" s="50">
        <f>IF(A234="","",K234/2080)</f>
        <v/>
      </c>
      <c r="N234" s="50">
        <f>IF(A234="","",B234+C234+D234+E234+I234+J234)</f>
        <v/>
      </c>
      <c r="O234" s="50">
        <f>IF(A234="","",N234*0.25)</f>
        <v/>
      </c>
      <c r="P234" s="50">
        <f>IF(A234="","",N234-O234)</f>
        <v/>
      </c>
      <c r="Q234" s="50">
        <f>IF(A234="","",ROUND(B234*0.4+C234*0.1+D234*0.1+E234*0.1+IF(G234="Yes",5000,0)*0.1+F234*500*0.1+IF(H234="Yes",5000,0)*0.1,0))</f>
        <v/>
      </c>
      <c r="R234" s="46">
        <f>IF(A234="","",ROUND(Q234/1000,1))</f>
        <v/>
      </c>
      <c r="S234" s="46">
        <f>IF(A234="","",RANK(R234,$R$2:$R$500,0))</f>
        <v/>
      </c>
    </row>
    <row r="235" ht="22" customHeight="1">
      <c r="A235" s="48" t="n"/>
      <c r="B235" s="51" t="n"/>
      <c r="C235" s="51" t="n"/>
      <c r="D235" s="51" t="n"/>
      <c r="E235" s="51" t="n"/>
      <c r="F235" s="48" t="n"/>
      <c r="G235" s="48" t="n"/>
      <c r="H235" s="48" t="n"/>
      <c r="I235" s="51" t="n"/>
      <c r="J235" s="51" t="n"/>
      <c r="K235" s="51">
        <f>IF(A235="","",B235+C235)</f>
        <v/>
      </c>
      <c r="L235" s="51">
        <f>IF(A235="","",K235/12)</f>
        <v/>
      </c>
      <c r="M235" s="51">
        <f>IF(A235="","",K235/2080)</f>
        <v/>
      </c>
      <c r="N235" s="51">
        <f>IF(A235="","",B235+C235+D235+E235+I235+J235)</f>
        <v/>
      </c>
      <c r="O235" s="51">
        <f>IF(A235="","",N235*0.25)</f>
        <v/>
      </c>
      <c r="P235" s="51">
        <f>IF(A235="","",N235-O235)</f>
        <v/>
      </c>
      <c r="Q235" s="51">
        <f>IF(A235="","",ROUND(B235*0.4+C235*0.1+D235*0.1+E235*0.1+IF(G235="Yes",5000,0)*0.1+F235*500*0.1+IF(H235="Yes",5000,0)*0.1,0))</f>
        <v/>
      </c>
      <c r="R235" s="48">
        <f>IF(A235="","",ROUND(Q235/1000,1))</f>
        <v/>
      </c>
      <c r="S235" s="48">
        <f>IF(A235="","",RANK(R235,$R$2:$R$500,0))</f>
        <v/>
      </c>
    </row>
    <row r="236" ht="22" customHeight="1">
      <c r="A236" s="46" t="n"/>
      <c r="B236" s="50" t="n"/>
      <c r="C236" s="50" t="n"/>
      <c r="D236" s="50" t="n"/>
      <c r="E236" s="50" t="n"/>
      <c r="F236" s="46" t="n"/>
      <c r="G236" s="46" t="n"/>
      <c r="H236" s="46" t="n"/>
      <c r="I236" s="50" t="n"/>
      <c r="J236" s="50" t="n"/>
      <c r="K236" s="50">
        <f>IF(A236="","",B236+C236)</f>
        <v/>
      </c>
      <c r="L236" s="50">
        <f>IF(A236="","",K236/12)</f>
        <v/>
      </c>
      <c r="M236" s="50">
        <f>IF(A236="","",K236/2080)</f>
        <v/>
      </c>
      <c r="N236" s="50">
        <f>IF(A236="","",B236+C236+D236+E236+I236+J236)</f>
        <v/>
      </c>
      <c r="O236" s="50">
        <f>IF(A236="","",N236*0.25)</f>
        <v/>
      </c>
      <c r="P236" s="50">
        <f>IF(A236="","",N236-O236)</f>
        <v/>
      </c>
      <c r="Q236" s="50">
        <f>IF(A236="","",ROUND(B236*0.4+C236*0.1+D236*0.1+E236*0.1+IF(G236="Yes",5000,0)*0.1+F236*500*0.1+IF(H236="Yes",5000,0)*0.1,0))</f>
        <v/>
      </c>
      <c r="R236" s="46">
        <f>IF(A236="","",ROUND(Q236/1000,1))</f>
        <v/>
      </c>
      <c r="S236" s="46">
        <f>IF(A236="","",RANK(R236,$R$2:$R$500,0))</f>
        <v/>
      </c>
    </row>
    <row r="237" ht="22" customHeight="1">
      <c r="A237" s="48" t="n"/>
      <c r="B237" s="51" t="n"/>
      <c r="C237" s="51" t="n"/>
      <c r="D237" s="51" t="n"/>
      <c r="E237" s="51" t="n"/>
      <c r="F237" s="48" t="n"/>
      <c r="G237" s="48" t="n"/>
      <c r="H237" s="48" t="n"/>
      <c r="I237" s="51" t="n"/>
      <c r="J237" s="51" t="n"/>
      <c r="K237" s="51">
        <f>IF(A237="","",B237+C237)</f>
        <v/>
      </c>
      <c r="L237" s="51">
        <f>IF(A237="","",K237/12)</f>
        <v/>
      </c>
      <c r="M237" s="51">
        <f>IF(A237="","",K237/2080)</f>
        <v/>
      </c>
      <c r="N237" s="51">
        <f>IF(A237="","",B237+C237+D237+E237+I237+J237)</f>
        <v/>
      </c>
      <c r="O237" s="51">
        <f>IF(A237="","",N237*0.25)</f>
        <v/>
      </c>
      <c r="P237" s="51">
        <f>IF(A237="","",N237-O237)</f>
        <v/>
      </c>
      <c r="Q237" s="51">
        <f>IF(A237="","",ROUND(B237*0.4+C237*0.1+D237*0.1+E237*0.1+IF(G237="Yes",5000,0)*0.1+F237*500*0.1+IF(H237="Yes",5000,0)*0.1,0))</f>
        <v/>
      </c>
      <c r="R237" s="48">
        <f>IF(A237="","",ROUND(Q237/1000,1))</f>
        <v/>
      </c>
      <c r="S237" s="48">
        <f>IF(A237="","",RANK(R237,$R$2:$R$500,0))</f>
        <v/>
      </c>
    </row>
    <row r="238" ht="22" customHeight="1">
      <c r="A238" s="46" t="n"/>
      <c r="B238" s="50" t="n"/>
      <c r="C238" s="50" t="n"/>
      <c r="D238" s="50" t="n"/>
      <c r="E238" s="50" t="n"/>
      <c r="F238" s="46" t="n"/>
      <c r="G238" s="46" t="n"/>
      <c r="H238" s="46" t="n"/>
      <c r="I238" s="50" t="n"/>
      <c r="J238" s="50" t="n"/>
      <c r="K238" s="50">
        <f>IF(A238="","",B238+C238)</f>
        <v/>
      </c>
      <c r="L238" s="50">
        <f>IF(A238="","",K238/12)</f>
        <v/>
      </c>
      <c r="M238" s="50">
        <f>IF(A238="","",K238/2080)</f>
        <v/>
      </c>
      <c r="N238" s="50">
        <f>IF(A238="","",B238+C238+D238+E238+I238+J238)</f>
        <v/>
      </c>
      <c r="O238" s="50">
        <f>IF(A238="","",N238*0.25)</f>
        <v/>
      </c>
      <c r="P238" s="50">
        <f>IF(A238="","",N238-O238)</f>
        <v/>
      </c>
      <c r="Q238" s="50">
        <f>IF(A238="","",ROUND(B238*0.4+C238*0.1+D238*0.1+E238*0.1+IF(G238="Yes",5000,0)*0.1+F238*500*0.1+IF(H238="Yes",5000,0)*0.1,0))</f>
        <v/>
      </c>
      <c r="R238" s="46">
        <f>IF(A238="","",ROUND(Q238/1000,1))</f>
        <v/>
      </c>
      <c r="S238" s="46">
        <f>IF(A238="","",RANK(R238,$R$2:$R$500,0))</f>
        <v/>
      </c>
    </row>
    <row r="239" ht="22" customHeight="1">
      <c r="A239" s="48" t="n"/>
      <c r="B239" s="51" t="n"/>
      <c r="C239" s="51" t="n"/>
      <c r="D239" s="51" t="n"/>
      <c r="E239" s="51" t="n"/>
      <c r="F239" s="48" t="n"/>
      <c r="G239" s="48" t="n"/>
      <c r="H239" s="48" t="n"/>
      <c r="I239" s="51" t="n"/>
      <c r="J239" s="51" t="n"/>
      <c r="K239" s="51">
        <f>IF(A239="","",B239+C239)</f>
        <v/>
      </c>
      <c r="L239" s="51">
        <f>IF(A239="","",K239/12)</f>
        <v/>
      </c>
      <c r="M239" s="51">
        <f>IF(A239="","",K239/2080)</f>
        <v/>
      </c>
      <c r="N239" s="51">
        <f>IF(A239="","",B239+C239+D239+E239+I239+J239)</f>
        <v/>
      </c>
      <c r="O239" s="51">
        <f>IF(A239="","",N239*0.25)</f>
        <v/>
      </c>
      <c r="P239" s="51">
        <f>IF(A239="","",N239-O239)</f>
        <v/>
      </c>
      <c r="Q239" s="51">
        <f>IF(A239="","",ROUND(B239*0.4+C239*0.1+D239*0.1+E239*0.1+IF(G239="Yes",5000,0)*0.1+F239*500*0.1+IF(H239="Yes",5000,0)*0.1,0))</f>
        <v/>
      </c>
      <c r="R239" s="48">
        <f>IF(A239="","",ROUND(Q239/1000,1))</f>
        <v/>
      </c>
      <c r="S239" s="48">
        <f>IF(A239="","",RANK(R239,$R$2:$R$500,0))</f>
        <v/>
      </c>
    </row>
    <row r="240" ht="22" customHeight="1">
      <c r="A240" s="46" t="n"/>
      <c r="B240" s="50" t="n"/>
      <c r="C240" s="50" t="n"/>
      <c r="D240" s="50" t="n"/>
      <c r="E240" s="50" t="n"/>
      <c r="F240" s="46" t="n"/>
      <c r="G240" s="46" t="n"/>
      <c r="H240" s="46" t="n"/>
      <c r="I240" s="50" t="n"/>
      <c r="J240" s="50" t="n"/>
      <c r="K240" s="50">
        <f>IF(A240="","",B240+C240)</f>
        <v/>
      </c>
      <c r="L240" s="50">
        <f>IF(A240="","",K240/12)</f>
        <v/>
      </c>
      <c r="M240" s="50">
        <f>IF(A240="","",K240/2080)</f>
        <v/>
      </c>
      <c r="N240" s="50">
        <f>IF(A240="","",B240+C240+D240+E240+I240+J240)</f>
        <v/>
      </c>
      <c r="O240" s="50">
        <f>IF(A240="","",N240*0.25)</f>
        <v/>
      </c>
      <c r="P240" s="50">
        <f>IF(A240="","",N240-O240)</f>
        <v/>
      </c>
      <c r="Q240" s="50">
        <f>IF(A240="","",ROUND(B240*0.4+C240*0.1+D240*0.1+E240*0.1+IF(G240="Yes",5000,0)*0.1+F240*500*0.1+IF(H240="Yes",5000,0)*0.1,0))</f>
        <v/>
      </c>
      <c r="R240" s="46">
        <f>IF(A240="","",ROUND(Q240/1000,1))</f>
        <v/>
      </c>
      <c r="S240" s="46">
        <f>IF(A240="","",RANK(R240,$R$2:$R$500,0))</f>
        <v/>
      </c>
    </row>
    <row r="241" ht="22" customHeight="1">
      <c r="A241" s="48" t="n"/>
      <c r="B241" s="51" t="n"/>
      <c r="C241" s="51" t="n"/>
      <c r="D241" s="51" t="n"/>
      <c r="E241" s="51" t="n"/>
      <c r="F241" s="48" t="n"/>
      <c r="G241" s="48" t="n"/>
      <c r="H241" s="48" t="n"/>
      <c r="I241" s="51" t="n"/>
      <c r="J241" s="51" t="n"/>
      <c r="K241" s="51">
        <f>IF(A241="","",B241+C241)</f>
        <v/>
      </c>
      <c r="L241" s="51">
        <f>IF(A241="","",K241/12)</f>
        <v/>
      </c>
      <c r="M241" s="51">
        <f>IF(A241="","",K241/2080)</f>
        <v/>
      </c>
      <c r="N241" s="51">
        <f>IF(A241="","",B241+C241+D241+E241+I241+J241)</f>
        <v/>
      </c>
      <c r="O241" s="51">
        <f>IF(A241="","",N241*0.25)</f>
        <v/>
      </c>
      <c r="P241" s="51">
        <f>IF(A241="","",N241-O241)</f>
        <v/>
      </c>
      <c r="Q241" s="51">
        <f>IF(A241="","",ROUND(B241*0.4+C241*0.1+D241*0.1+E241*0.1+IF(G241="Yes",5000,0)*0.1+F241*500*0.1+IF(H241="Yes",5000,0)*0.1,0))</f>
        <v/>
      </c>
      <c r="R241" s="48">
        <f>IF(A241="","",ROUND(Q241/1000,1))</f>
        <v/>
      </c>
      <c r="S241" s="48">
        <f>IF(A241="","",RANK(R241,$R$2:$R$500,0))</f>
        <v/>
      </c>
    </row>
    <row r="242" ht="22" customHeight="1">
      <c r="A242" s="46" t="n"/>
      <c r="B242" s="50" t="n"/>
      <c r="C242" s="50" t="n"/>
      <c r="D242" s="50" t="n"/>
      <c r="E242" s="50" t="n"/>
      <c r="F242" s="46" t="n"/>
      <c r="G242" s="46" t="n"/>
      <c r="H242" s="46" t="n"/>
      <c r="I242" s="50" t="n"/>
      <c r="J242" s="50" t="n"/>
      <c r="K242" s="50">
        <f>IF(A242="","",B242+C242)</f>
        <v/>
      </c>
      <c r="L242" s="50">
        <f>IF(A242="","",K242/12)</f>
        <v/>
      </c>
      <c r="M242" s="50">
        <f>IF(A242="","",K242/2080)</f>
        <v/>
      </c>
      <c r="N242" s="50">
        <f>IF(A242="","",B242+C242+D242+E242+I242+J242)</f>
        <v/>
      </c>
      <c r="O242" s="50">
        <f>IF(A242="","",N242*0.25)</f>
        <v/>
      </c>
      <c r="P242" s="50">
        <f>IF(A242="","",N242-O242)</f>
        <v/>
      </c>
      <c r="Q242" s="50">
        <f>IF(A242="","",ROUND(B242*0.4+C242*0.1+D242*0.1+E242*0.1+IF(G242="Yes",5000,0)*0.1+F242*500*0.1+IF(H242="Yes",5000,0)*0.1,0))</f>
        <v/>
      </c>
      <c r="R242" s="46">
        <f>IF(A242="","",ROUND(Q242/1000,1))</f>
        <v/>
      </c>
      <c r="S242" s="46">
        <f>IF(A242="","",RANK(R242,$R$2:$R$500,0))</f>
        <v/>
      </c>
    </row>
    <row r="243" ht="22" customHeight="1">
      <c r="A243" s="48" t="n"/>
      <c r="B243" s="51" t="n"/>
      <c r="C243" s="51" t="n"/>
      <c r="D243" s="51" t="n"/>
      <c r="E243" s="51" t="n"/>
      <c r="F243" s="48" t="n"/>
      <c r="G243" s="48" t="n"/>
      <c r="H243" s="48" t="n"/>
      <c r="I243" s="51" t="n"/>
      <c r="J243" s="51" t="n"/>
      <c r="K243" s="51">
        <f>IF(A243="","",B243+C243)</f>
        <v/>
      </c>
      <c r="L243" s="51">
        <f>IF(A243="","",K243/12)</f>
        <v/>
      </c>
      <c r="M243" s="51">
        <f>IF(A243="","",K243/2080)</f>
        <v/>
      </c>
      <c r="N243" s="51">
        <f>IF(A243="","",B243+C243+D243+E243+I243+J243)</f>
        <v/>
      </c>
      <c r="O243" s="51">
        <f>IF(A243="","",N243*0.25)</f>
        <v/>
      </c>
      <c r="P243" s="51">
        <f>IF(A243="","",N243-O243)</f>
        <v/>
      </c>
      <c r="Q243" s="51">
        <f>IF(A243="","",ROUND(B243*0.4+C243*0.1+D243*0.1+E243*0.1+IF(G243="Yes",5000,0)*0.1+F243*500*0.1+IF(H243="Yes",5000,0)*0.1,0))</f>
        <v/>
      </c>
      <c r="R243" s="48">
        <f>IF(A243="","",ROUND(Q243/1000,1))</f>
        <v/>
      </c>
      <c r="S243" s="48">
        <f>IF(A243="","",RANK(R243,$R$2:$R$500,0))</f>
        <v/>
      </c>
    </row>
    <row r="244" ht="22" customHeight="1">
      <c r="A244" s="46" t="n"/>
      <c r="B244" s="50" t="n"/>
      <c r="C244" s="50" t="n"/>
      <c r="D244" s="50" t="n"/>
      <c r="E244" s="50" t="n"/>
      <c r="F244" s="46" t="n"/>
      <c r="G244" s="46" t="n"/>
      <c r="H244" s="46" t="n"/>
      <c r="I244" s="50" t="n"/>
      <c r="J244" s="50" t="n"/>
      <c r="K244" s="50">
        <f>IF(A244="","",B244+C244)</f>
        <v/>
      </c>
      <c r="L244" s="50">
        <f>IF(A244="","",K244/12)</f>
        <v/>
      </c>
      <c r="M244" s="50">
        <f>IF(A244="","",K244/2080)</f>
        <v/>
      </c>
      <c r="N244" s="50">
        <f>IF(A244="","",B244+C244+D244+E244+I244+J244)</f>
        <v/>
      </c>
      <c r="O244" s="50">
        <f>IF(A244="","",N244*0.25)</f>
        <v/>
      </c>
      <c r="P244" s="50">
        <f>IF(A244="","",N244-O244)</f>
        <v/>
      </c>
      <c r="Q244" s="50">
        <f>IF(A244="","",ROUND(B244*0.4+C244*0.1+D244*0.1+E244*0.1+IF(G244="Yes",5000,0)*0.1+F244*500*0.1+IF(H244="Yes",5000,0)*0.1,0))</f>
        <v/>
      </c>
      <c r="R244" s="46">
        <f>IF(A244="","",ROUND(Q244/1000,1))</f>
        <v/>
      </c>
      <c r="S244" s="46">
        <f>IF(A244="","",RANK(R244,$R$2:$R$500,0))</f>
        <v/>
      </c>
    </row>
    <row r="245" ht="22" customHeight="1">
      <c r="A245" s="48" t="n"/>
      <c r="B245" s="51" t="n"/>
      <c r="C245" s="51" t="n"/>
      <c r="D245" s="51" t="n"/>
      <c r="E245" s="51" t="n"/>
      <c r="F245" s="48" t="n"/>
      <c r="G245" s="48" t="n"/>
      <c r="H245" s="48" t="n"/>
      <c r="I245" s="51" t="n"/>
      <c r="J245" s="51" t="n"/>
      <c r="K245" s="51">
        <f>IF(A245="","",B245+C245)</f>
        <v/>
      </c>
      <c r="L245" s="51">
        <f>IF(A245="","",K245/12)</f>
        <v/>
      </c>
      <c r="M245" s="51">
        <f>IF(A245="","",K245/2080)</f>
        <v/>
      </c>
      <c r="N245" s="51">
        <f>IF(A245="","",B245+C245+D245+E245+I245+J245)</f>
        <v/>
      </c>
      <c r="O245" s="51">
        <f>IF(A245="","",N245*0.25)</f>
        <v/>
      </c>
      <c r="P245" s="51">
        <f>IF(A245="","",N245-O245)</f>
        <v/>
      </c>
      <c r="Q245" s="51">
        <f>IF(A245="","",ROUND(B245*0.4+C245*0.1+D245*0.1+E245*0.1+IF(G245="Yes",5000,0)*0.1+F245*500*0.1+IF(H245="Yes",5000,0)*0.1,0))</f>
        <v/>
      </c>
      <c r="R245" s="48">
        <f>IF(A245="","",ROUND(Q245/1000,1))</f>
        <v/>
      </c>
      <c r="S245" s="48">
        <f>IF(A245="","",RANK(R245,$R$2:$R$500,0))</f>
        <v/>
      </c>
    </row>
    <row r="246" ht="22" customHeight="1">
      <c r="A246" s="46" t="n"/>
      <c r="B246" s="50" t="n"/>
      <c r="C246" s="50" t="n"/>
      <c r="D246" s="50" t="n"/>
      <c r="E246" s="50" t="n"/>
      <c r="F246" s="46" t="n"/>
      <c r="G246" s="46" t="n"/>
      <c r="H246" s="46" t="n"/>
      <c r="I246" s="50" t="n"/>
      <c r="J246" s="50" t="n"/>
      <c r="K246" s="50">
        <f>IF(A246="","",B246+C246)</f>
        <v/>
      </c>
      <c r="L246" s="50">
        <f>IF(A246="","",K246/12)</f>
        <v/>
      </c>
      <c r="M246" s="50">
        <f>IF(A246="","",K246/2080)</f>
        <v/>
      </c>
      <c r="N246" s="50">
        <f>IF(A246="","",B246+C246+D246+E246+I246+J246)</f>
        <v/>
      </c>
      <c r="O246" s="50">
        <f>IF(A246="","",N246*0.25)</f>
        <v/>
      </c>
      <c r="P246" s="50">
        <f>IF(A246="","",N246-O246)</f>
        <v/>
      </c>
      <c r="Q246" s="50">
        <f>IF(A246="","",ROUND(B246*0.4+C246*0.1+D246*0.1+E246*0.1+IF(G246="Yes",5000,0)*0.1+F246*500*0.1+IF(H246="Yes",5000,0)*0.1,0))</f>
        <v/>
      </c>
      <c r="R246" s="46">
        <f>IF(A246="","",ROUND(Q246/1000,1))</f>
        <v/>
      </c>
      <c r="S246" s="46">
        <f>IF(A246="","",RANK(R246,$R$2:$R$500,0))</f>
        <v/>
      </c>
    </row>
    <row r="247" ht="22" customHeight="1">
      <c r="A247" s="48" t="n"/>
      <c r="B247" s="51" t="n"/>
      <c r="C247" s="51" t="n"/>
      <c r="D247" s="51" t="n"/>
      <c r="E247" s="51" t="n"/>
      <c r="F247" s="48" t="n"/>
      <c r="G247" s="48" t="n"/>
      <c r="H247" s="48" t="n"/>
      <c r="I247" s="51" t="n"/>
      <c r="J247" s="51" t="n"/>
      <c r="K247" s="51">
        <f>IF(A247="","",B247+C247)</f>
        <v/>
      </c>
      <c r="L247" s="51">
        <f>IF(A247="","",K247/12)</f>
        <v/>
      </c>
      <c r="M247" s="51">
        <f>IF(A247="","",K247/2080)</f>
        <v/>
      </c>
      <c r="N247" s="51">
        <f>IF(A247="","",B247+C247+D247+E247+I247+J247)</f>
        <v/>
      </c>
      <c r="O247" s="51">
        <f>IF(A247="","",N247*0.25)</f>
        <v/>
      </c>
      <c r="P247" s="51">
        <f>IF(A247="","",N247-O247)</f>
        <v/>
      </c>
      <c r="Q247" s="51">
        <f>IF(A247="","",ROUND(B247*0.4+C247*0.1+D247*0.1+E247*0.1+IF(G247="Yes",5000,0)*0.1+F247*500*0.1+IF(H247="Yes",5000,0)*0.1,0))</f>
        <v/>
      </c>
      <c r="R247" s="48">
        <f>IF(A247="","",ROUND(Q247/1000,1))</f>
        <v/>
      </c>
      <c r="S247" s="48">
        <f>IF(A247="","",RANK(R247,$R$2:$R$500,0))</f>
        <v/>
      </c>
    </row>
    <row r="248" ht="22" customHeight="1">
      <c r="A248" s="46" t="n"/>
      <c r="B248" s="50" t="n"/>
      <c r="C248" s="50" t="n"/>
      <c r="D248" s="50" t="n"/>
      <c r="E248" s="50" t="n"/>
      <c r="F248" s="46" t="n"/>
      <c r="G248" s="46" t="n"/>
      <c r="H248" s="46" t="n"/>
      <c r="I248" s="50" t="n"/>
      <c r="J248" s="50" t="n"/>
      <c r="K248" s="50">
        <f>IF(A248="","",B248+C248)</f>
        <v/>
      </c>
      <c r="L248" s="50">
        <f>IF(A248="","",K248/12)</f>
        <v/>
      </c>
      <c r="M248" s="50">
        <f>IF(A248="","",K248/2080)</f>
        <v/>
      </c>
      <c r="N248" s="50">
        <f>IF(A248="","",B248+C248+D248+E248+I248+J248)</f>
        <v/>
      </c>
      <c r="O248" s="50">
        <f>IF(A248="","",N248*0.25)</f>
        <v/>
      </c>
      <c r="P248" s="50">
        <f>IF(A248="","",N248-O248)</f>
        <v/>
      </c>
      <c r="Q248" s="50">
        <f>IF(A248="","",ROUND(B248*0.4+C248*0.1+D248*0.1+E248*0.1+IF(G248="Yes",5000,0)*0.1+F248*500*0.1+IF(H248="Yes",5000,0)*0.1,0))</f>
        <v/>
      </c>
      <c r="R248" s="46">
        <f>IF(A248="","",ROUND(Q248/1000,1))</f>
        <v/>
      </c>
      <c r="S248" s="46">
        <f>IF(A248="","",RANK(R248,$R$2:$R$500,0))</f>
        <v/>
      </c>
    </row>
    <row r="249" ht="22" customHeight="1">
      <c r="A249" s="48" t="n"/>
      <c r="B249" s="51" t="n"/>
      <c r="C249" s="51" t="n"/>
      <c r="D249" s="51" t="n"/>
      <c r="E249" s="51" t="n"/>
      <c r="F249" s="48" t="n"/>
      <c r="G249" s="48" t="n"/>
      <c r="H249" s="48" t="n"/>
      <c r="I249" s="51" t="n"/>
      <c r="J249" s="51" t="n"/>
      <c r="K249" s="51">
        <f>IF(A249="","",B249+C249)</f>
        <v/>
      </c>
      <c r="L249" s="51">
        <f>IF(A249="","",K249/12)</f>
        <v/>
      </c>
      <c r="M249" s="51">
        <f>IF(A249="","",K249/2080)</f>
        <v/>
      </c>
      <c r="N249" s="51">
        <f>IF(A249="","",B249+C249+D249+E249+I249+J249)</f>
        <v/>
      </c>
      <c r="O249" s="51">
        <f>IF(A249="","",N249*0.25)</f>
        <v/>
      </c>
      <c r="P249" s="51">
        <f>IF(A249="","",N249-O249)</f>
        <v/>
      </c>
      <c r="Q249" s="51">
        <f>IF(A249="","",ROUND(B249*0.4+C249*0.1+D249*0.1+E249*0.1+IF(G249="Yes",5000,0)*0.1+F249*500*0.1+IF(H249="Yes",5000,0)*0.1,0))</f>
        <v/>
      </c>
      <c r="R249" s="48">
        <f>IF(A249="","",ROUND(Q249/1000,1))</f>
        <v/>
      </c>
      <c r="S249" s="48">
        <f>IF(A249="","",RANK(R249,$R$2:$R$500,0))</f>
        <v/>
      </c>
    </row>
    <row r="250" ht="22" customHeight="1">
      <c r="A250" s="46" t="n"/>
      <c r="B250" s="50" t="n"/>
      <c r="C250" s="50" t="n"/>
      <c r="D250" s="50" t="n"/>
      <c r="E250" s="50" t="n"/>
      <c r="F250" s="46" t="n"/>
      <c r="G250" s="46" t="n"/>
      <c r="H250" s="46" t="n"/>
      <c r="I250" s="50" t="n"/>
      <c r="J250" s="50" t="n"/>
      <c r="K250" s="50">
        <f>IF(A250="","",B250+C250)</f>
        <v/>
      </c>
      <c r="L250" s="50">
        <f>IF(A250="","",K250/12)</f>
        <v/>
      </c>
      <c r="M250" s="50">
        <f>IF(A250="","",K250/2080)</f>
        <v/>
      </c>
      <c r="N250" s="50">
        <f>IF(A250="","",B250+C250+D250+E250+I250+J250)</f>
        <v/>
      </c>
      <c r="O250" s="50">
        <f>IF(A250="","",N250*0.25)</f>
        <v/>
      </c>
      <c r="P250" s="50">
        <f>IF(A250="","",N250-O250)</f>
        <v/>
      </c>
      <c r="Q250" s="50">
        <f>IF(A250="","",ROUND(B250*0.4+C250*0.1+D250*0.1+E250*0.1+IF(G250="Yes",5000,0)*0.1+F250*500*0.1+IF(H250="Yes",5000,0)*0.1,0))</f>
        <v/>
      </c>
      <c r="R250" s="46">
        <f>IF(A250="","",ROUND(Q250/1000,1))</f>
        <v/>
      </c>
      <c r="S250" s="46">
        <f>IF(A250="","",RANK(R250,$R$2:$R$500,0))</f>
        <v/>
      </c>
    </row>
    <row r="251" ht="22" customHeight="1">
      <c r="A251" s="48" t="n"/>
      <c r="B251" s="51" t="n"/>
      <c r="C251" s="51" t="n"/>
      <c r="D251" s="51" t="n"/>
      <c r="E251" s="51" t="n"/>
      <c r="F251" s="48" t="n"/>
      <c r="G251" s="48" t="n"/>
      <c r="H251" s="48" t="n"/>
      <c r="I251" s="51" t="n"/>
      <c r="J251" s="51" t="n"/>
      <c r="K251" s="51">
        <f>IF(A251="","",B251+C251)</f>
        <v/>
      </c>
      <c r="L251" s="51">
        <f>IF(A251="","",K251/12)</f>
        <v/>
      </c>
      <c r="M251" s="51">
        <f>IF(A251="","",K251/2080)</f>
        <v/>
      </c>
      <c r="N251" s="51">
        <f>IF(A251="","",B251+C251+D251+E251+I251+J251)</f>
        <v/>
      </c>
      <c r="O251" s="51">
        <f>IF(A251="","",N251*0.25)</f>
        <v/>
      </c>
      <c r="P251" s="51">
        <f>IF(A251="","",N251-O251)</f>
        <v/>
      </c>
      <c r="Q251" s="51">
        <f>IF(A251="","",ROUND(B251*0.4+C251*0.1+D251*0.1+E251*0.1+IF(G251="Yes",5000,0)*0.1+F251*500*0.1+IF(H251="Yes",5000,0)*0.1,0))</f>
        <v/>
      </c>
      <c r="R251" s="48">
        <f>IF(A251="","",ROUND(Q251/1000,1))</f>
        <v/>
      </c>
      <c r="S251" s="48">
        <f>IF(A251="","",RANK(R251,$R$2:$R$500,0))</f>
        <v/>
      </c>
    </row>
    <row r="252" ht="22" customHeight="1">
      <c r="A252" s="46" t="n"/>
      <c r="B252" s="50" t="n"/>
      <c r="C252" s="50" t="n"/>
      <c r="D252" s="50" t="n"/>
      <c r="E252" s="50" t="n"/>
      <c r="F252" s="46" t="n"/>
      <c r="G252" s="46" t="n"/>
      <c r="H252" s="46" t="n"/>
      <c r="I252" s="50" t="n"/>
      <c r="J252" s="50" t="n"/>
      <c r="K252" s="50">
        <f>IF(A252="","",B252+C252)</f>
        <v/>
      </c>
      <c r="L252" s="50">
        <f>IF(A252="","",K252/12)</f>
        <v/>
      </c>
      <c r="M252" s="50">
        <f>IF(A252="","",K252/2080)</f>
        <v/>
      </c>
      <c r="N252" s="50">
        <f>IF(A252="","",B252+C252+D252+E252+I252+J252)</f>
        <v/>
      </c>
      <c r="O252" s="50">
        <f>IF(A252="","",N252*0.25)</f>
        <v/>
      </c>
      <c r="P252" s="50">
        <f>IF(A252="","",N252-O252)</f>
        <v/>
      </c>
      <c r="Q252" s="50">
        <f>IF(A252="","",ROUND(B252*0.4+C252*0.1+D252*0.1+E252*0.1+IF(G252="Yes",5000,0)*0.1+F252*500*0.1+IF(H252="Yes",5000,0)*0.1,0))</f>
        <v/>
      </c>
      <c r="R252" s="46">
        <f>IF(A252="","",ROUND(Q252/1000,1))</f>
        <v/>
      </c>
      <c r="S252" s="46">
        <f>IF(A252="","",RANK(R252,$R$2:$R$500,0))</f>
        <v/>
      </c>
    </row>
    <row r="253" ht="22" customHeight="1">
      <c r="A253" s="48" t="n"/>
      <c r="B253" s="51" t="n"/>
      <c r="C253" s="51" t="n"/>
      <c r="D253" s="51" t="n"/>
      <c r="E253" s="51" t="n"/>
      <c r="F253" s="48" t="n"/>
      <c r="G253" s="48" t="n"/>
      <c r="H253" s="48" t="n"/>
      <c r="I253" s="51" t="n"/>
      <c r="J253" s="51" t="n"/>
      <c r="K253" s="51">
        <f>IF(A253="","",B253+C253)</f>
        <v/>
      </c>
      <c r="L253" s="51">
        <f>IF(A253="","",K253/12)</f>
        <v/>
      </c>
      <c r="M253" s="51">
        <f>IF(A253="","",K253/2080)</f>
        <v/>
      </c>
      <c r="N253" s="51">
        <f>IF(A253="","",B253+C253+D253+E253+I253+J253)</f>
        <v/>
      </c>
      <c r="O253" s="51">
        <f>IF(A253="","",N253*0.25)</f>
        <v/>
      </c>
      <c r="P253" s="51">
        <f>IF(A253="","",N253-O253)</f>
        <v/>
      </c>
      <c r="Q253" s="51">
        <f>IF(A253="","",ROUND(B253*0.4+C253*0.1+D253*0.1+E253*0.1+IF(G253="Yes",5000,0)*0.1+F253*500*0.1+IF(H253="Yes",5000,0)*0.1,0))</f>
        <v/>
      </c>
      <c r="R253" s="48">
        <f>IF(A253="","",ROUND(Q253/1000,1))</f>
        <v/>
      </c>
      <c r="S253" s="48">
        <f>IF(A253="","",RANK(R253,$R$2:$R$500,0))</f>
        <v/>
      </c>
    </row>
    <row r="254" ht="22" customHeight="1">
      <c r="A254" s="46" t="n"/>
      <c r="B254" s="50" t="n"/>
      <c r="C254" s="50" t="n"/>
      <c r="D254" s="50" t="n"/>
      <c r="E254" s="50" t="n"/>
      <c r="F254" s="46" t="n"/>
      <c r="G254" s="46" t="n"/>
      <c r="H254" s="46" t="n"/>
      <c r="I254" s="50" t="n"/>
      <c r="J254" s="50" t="n"/>
      <c r="K254" s="50">
        <f>IF(A254="","",B254+C254)</f>
        <v/>
      </c>
      <c r="L254" s="50">
        <f>IF(A254="","",K254/12)</f>
        <v/>
      </c>
      <c r="M254" s="50">
        <f>IF(A254="","",K254/2080)</f>
        <v/>
      </c>
      <c r="N254" s="50">
        <f>IF(A254="","",B254+C254+D254+E254+I254+J254)</f>
        <v/>
      </c>
      <c r="O254" s="50">
        <f>IF(A254="","",N254*0.25)</f>
        <v/>
      </c>
      <c r="P254" s="50">
        <f>IF(A254="","",N254-O254)</f>
        <v/>
      </c>
      <c r="Q254" s="50">
        <f>IF(A254="","",ROUND(B254*0.4+C254*0.1+D254*0.1+E254*0.1+IF(G254="Yes",5000,0)*0.1+F254*500*0.1+IF(H254="Yes",5000,0)*0.1,0))</f>
        <v/>
      </c>
      <c r="R254" s="46">
        <f>IF(A254="","",ROUND(Q254/1000,1))</f>
        <v/>
      </c>
      <c r="S254" s="46">
        <f>IF(A254="","",RANK(R254,$R$2:$R$500,0))</f>
        <v/>
      </c>
    </row>
    <row r="255" ht="22" customHeight="1">
      <c r="A255" s="48" t="n"/>
      <c r="B255" s="51" t="n"/>
      <c r="C255" s="51" t="n"/>
      <c r="D255" s="51" t="n"/>
      <c r="E255" s="51" t="n"/>
      <c r="F255" s="48" t="n"/>
      <c r="G255" s="48" t="n"/>
      <c r="H255" s="48" t="n"/>
      <c r="I255" s="51" t="n"/>
      <c r="J255" s="51" t="n"/>
      <c r="K255" s="51">
        <f>IF(A255="","",B255+C255)</f>
        <v/>
      </c>
      <c r="L255" s="51">
        <f>IF(A255="","",K255/12)</f>
        <v/>
      </c>
      <c r="M255" s="51">
        <f>IF(A255="","",K255/2080)</f>
        <v/>
      </c>
      <c r="N255" s="51">
        <f>IF(A255="","",B255+C255+D255+E255+I255+J255)</f>
        <v/>
      </c>
      <c r="O255" s="51">
        <f>IF(A255="","",N255*0.25)</f>
        <v/>
      </c>
      <c r="P255" s="51">
        <f>IF(A255="","",N255-O255)</f>
        <v/>
      </c>
      <c r="Q255" s="51">
        <f>IF(A255="","",ROUND(B255*0.4+C255*0.1+D255*0.1+E255*0.1+IF(G255="Yes",5000,0)*0.1+F255*500*0.1+IF(H255="Yes",5000,0)*0.1,0))</f>
        <v/>
      </c>
      <c r="R255" s="48">
        <f>IF(A255="","",ROUND(Q255/1000,1))</f>
        <v/>
      </c>
      <c r="S255" s="48">
        <f>IF(A255="","",RANK(R255,$R$2:$R$500,0))</f>
        <v/>
      </c>
    </row>
    <row r="256" ht="22" customHeight="1">
      <c r="A256" s="46" t="n"/>
      <c r="B256" s="50" t="n"/>
      <c r="C256" s="50" t="n"/>
      <c r="D256" s="50" t="n"/>
      <c r="E256" s="50" t="n"/>
      <c r="F256" s="46" t="n"/>
      <c r="G256" s="46" t="n"/>
      <c r="H256" s="46" t="n"/>
      <c r="I256" s="50" t="n"/>
      <c r="J256" s="50" t="n"/>
      <c r="K256" s="50">
        <f>IF(A256="","",B256+C256)</f>
        <v/>
      </c>
      <c r="L256" s="50">
        <f>IF(A256="","",K256/12)</f>
        <v/>
      </c>
      <c r="M256" s="50">
        <f>IF(A256="","",K256/2080)</f>
        <v/>
      </c>
      <c r="N256" s="50">
        <f>IF(A256="","",B256+C256+D256+E256+I256+J256)</f>
        <v/>
      </c>
      <c r="O256" s="50">
        <f>IF(A256="","",N256*0.25)</f>
        <v/>
      </c>
      <c r="P256" s="50">
        <f>IF(A256="","",N256-O256)</f>
        <v/>
      </c>
      <c r="Q256" s="50">
        <f>IF(A256="","",ROUND(B256*0.4+C256*0.1+D256*0.1+E256*0.1+IF(G256="Yes",5000,0)*0.1+F256*500*0.1+IF(H256="Yes",5000,0)*0.1,0))</f>
        <v/>
      </c>
      <c r="R256" s="46">
        <f>IF(A256="","",ROUND(Q256/1000,1))</f>
        <v/>
      </c>
      <c r="S256" s="46">
        <f>IF(A256="","",RANK(R256,$R$2:$R$500,0))</f>
        <v/>
      </c>
    </row>
    <row r="257" ht="22" customHeight="1">
      <c r="A257" s="48" t="n"/>
      <c r="B257" s="51" t="n"/>
      <c r="C257" s="51" t="n"/>
      <c r="D257" s="51" t="n"/>
      <c r="E257" s="51" t="n"/>
      <c r="F257" s="48" t="n"/>
      <c r="G257" s="48" t="n"/>
      <c r="H257" s="48" t="n"/>
      <c r="I257" s="51" t="n"/>
      <c r="J257" s="51" t="n"/>
      <c r="K257" s="51">
        <f>IF(A257="","",B257+C257)</f>
        <v/>
      </c>
      <c r="L257" s="51">
        <f>IF(A257="","",K257/12)</f>
        <v/>
      </c>
      <c r="M257" s="51">
        <f>IF(A257="","",K257/2080)</f>
        <v/>
      </c>
      <c r="N257" s="51">
        <f>IF(A257="","",B257+C257+D257+E257+I257+J257)</f>
        <v/>
      </c>
      <c r="O257" s="51">
        <f>IF(A257="","",N257*0.25)</f>
        <v/>
      </c>
      <c r="P257" s="51">
        <f>IF(A257="","",N257-O257)</f>
        <v/>
      </c>
      <c r="Q257" s="51">
        <f>IF(A257="","",ROUND(B257*0.4+C257*0.1+D257*0.1+E257*0.1+IF(G257="Yes",5000,0)*0.1+F257*500*0.1+IF(H257="Yes",5000,0)*0.1,0))</f>
        <v/>
      </c>
      <c r="R257" s="48">
        <f>IF(A257="","",ROUND(Q257/1000,1))</f>
        <v/>
      </c>
      <c r="S257" s="48">
        <f>IF(A257="","",RANK(R257,$R$2:$R$500,0))</f>
        <v/>
      </c>
    </row>
    <row r="258" ht="22" customHeight="1">
      <c r="A258" s="46" t="n"/>
      <c r="B258" s="50" t="n"/>
      <c r="C258" s="50" t="n"/>
      <c r="D258" s="50" t="n"/>
      <c r="E258" s="50" t="n"/>
      <c r="F258" s="46" t="n"/>
      <c r="G258" s="46" t="n"/>
      <c r="H258" s="46" t="n"/>
      <c r="I258" s="50" t="n"/>
      <c r="J258" s="50" t="n"/>
      <c r="K258" s="50">
        <f>IF(A258="","",B258+C258)</f>
        <v/>
      </c>
      <c r="L258" s="50">
        <f>IF(A258="","",K258/12)</f>
        <v/>
      </c>
      <c r="M258" s="50">
        <f>IF(A258="","",K258/2080)</f>
        <v/>
      </c>
      <c r="N258" s="50">
        <f>IF(A258="","",B258+C258+D258+E258+I258+J258)</f>
        <v/>
      </c>
      <c r="O258" s="50">
        <f>IF(A258="","",N258*0.25)</f>
        <v/>
      </c>
      <c r="P258" s="50">
        <f>IF(A258="","",N258-O258)</f>
        <v/>
      </c>
      <c r="Q258" s="50">
        <f>IF(A258="","",ROUND(B258*0.4+C258*0.1+D258*0.1+E258*0.1+IF(G258="Yes",5000,0)*0.1+F258*500*0.1+IF(H258="Yes",5000,0)*0.1,0))</f>
        <v/>
      </c>
      <c r="R258" s="46">
        <f>IF(A258="","",ROUND(Q258/1000,1))</f>
        <v/>
      </c>
      <c r="S258" s="46">
        <f>IF(A258="","",RANK(R258,$R$2:$R$500,0))</f>
        <v/>
      </c>
    </row>
    <row r="259" ht="22" customHeight="1">
      <c r="A259" s="48" t="n"/>
      <c r="B259" s="51" t="n"/>
      <c r="C259" s="51" t="n"/>
      <c r="D259" s="51" t="n"/>
      <c r="E259" s="51" t="n"/>
      <c r="F259" s="48" t="n"/>
      <c r="G259" s="48" t="n"/>
      <c r="H259" s="48" t="n"/>
      <c r="I259" s="51" t="n"/>
      <c r="J259" s="51" t="n"/>
      <c r="K259" s="51">
        <f>IF(A259="","",B259+C259)</f>
        <v/>
      </c>
      <c r="L259" s="51">
        <f>IF(A259="","",K259/12)</f>
        <v/>
      </c>
      <c r="M259" s="51">
        <f>IF(A259="","",K259/2080)</f>
        <v/>
      </c>
      <c r="N259" s="51">
        <f>IF(A259="","",B259+C259+D259+E259+I259+J259)</f>
        <v/>
      </c>
      <c r="O259" s="51">
        <f>IF(A259="","",N259*0.25)</f>
        <v/>
      </c>
      <c r="P259" s="51">
        <f>IF(A259="","",N259-O259)</f>
        <v/>
      </c>
      <c r="Q259" s="51">
        <f>IF(A259="","",ROUND(B259*0.4+C259*0.1+D259*0.1+E259*0.1+IF(G259="Yes",5000,0)*0.1+F259*500*0.1+IF(H259="Yes",5000,0)*0.1,0))</f>
        <v/>
      </c>
      <c r="R259" s="48">
        <f>IF(A259="","",ROUND(Q259/1000,1))</f>
        <v/>
      </c>
      <c r="S259" s="48">
        <f>IF(A259="","",RANK(R259,$R$2:$R$500,0))</f>
        <v/>
      </c>
    </row>
    <row r="260" ht="22" customHeight="1">
      <c r="A260" s="46" t="n"/>
      <c r="B260" s="50" t="n"/>
      <c r="C260" s="50" t="n"/>
      <c r="D260" s="50" t="n"/>
      <c r="E260" s="50" t="n"/>
      <c r="F260" s="46" t="n"/>
      <c r="G260" s="46" t="n"/>
      <c r="H260" s="46" t="n"/>
      <c r="I260" s="50" t="n"/>
      <c r="J260" s="50" t="n"/>
      <c r="K260" s="50">
        <f>IF(A260="","",B260+C260)</f>
        <v/>
      </c>
      <c r="L260" s="50">
        <f>IF(A260="","",K260/12)</f>
        <v/>
      </c>
      <c r="M260" s="50">
        <f>IF(A260="","",K260/2080)</f>
        <v/>
      </c>
      <c r="N260" s="50">
        <f>IF(A260="","",B260+C260+D260+E260+I260+J260)</f>
        <v/>
      </c>
      <c r="O260" s="50">
        <f>IF(A260="","",N260*0.25)</f>
        <v/>
      </c>
      <c r="P260" s="50">
        <f>IF(A260="","",N260-O260)</f>
        <v/>
      </c>
      <c r="Q260" s="50">
        <f>IF(A260="","",ROUND(B260*0.4+C260*0.1+D260*0.1+E260*0.1+IF(G260="Yes",5000,0)*0.1+F260*500*0.1+IF(H260="Yes",5000,0)*0.1,0))</f>
        <v/>
      </c>
      <c r="R260" s="46">
        <f>IF(A260="","",ROUND(Q260/1000,1))</f>
        <v/>
      </c>
      <c r="S260" s="46">
        <f>IF(A260="","",RANK(R260,$R$2:$R$500,0))</f>
        <v/>
      </c>
    </row>
    <row r="261" ht="22" customHeight="1">
      <c r="A261" s="48" t="n"/>
      <c r="B261" s="51" t="n"/>
      <c r="C261" s="51" t="n"/>
      <c r="D261" s="51" t="n"/>
      <c r="E261" s="51" t="n"/>
      <c r="F261" s="48" t="n"/>
      <c r="G261" s="48" t="n"/>
      <c r="H261" s="48" t="n"/>
      <c r="I261" s="51" t="n"/>
      <c r="J261" s="51" t="n"/>
      <c r="K261" s="51">
        <f>IF(A261="","",B261+C261)</f>
        <v/>
      </c>
      <c r="L261" s="51">
        <f>IF(A261="","",K261/12)</f>
        <v/>
      </c>
      <c r="M261" s="51">
        <f>IF(A261="","",K261/2080)</f>
        <v/>
      </c>
      <c r="N261" s="51">
        <f>IF(A261="","",B261+C261+D261+E261+I261+J261)</f>
        <v/>
      </c>
      <c r="O261" s="51">
        <f>IF(A261="","",N261*0.25)</f>
        <v/>
      </c>
      <c r="P261" s="51">
        <f>IF(A261="","",N261-O261)</f>
        <v/>
      </c>
      <c r="Q261" s="51">
        <f>IF(A261="","",ROUND(B261*0.4+C261*0.1+D261*0.1+E261*0.1+IF(G261="Yes",5000,0)*0.1+F261*500*0.1+IF(H261="Yes",5000,0)*0.1,0))</f>
        <v/>
      </c>
      <c r="R261" s="48">
        <f>IF(A261="","",ROUND(Q261/1000,1))</f>
        <v/>
      </c>
      <c r="S261" s="48">
        <f>IF(A261="","",RANK(R261,$R$2:$R$500,0))</f>
        <v/>
      </c>
    </row>
    <row r="262" ht="22" customHeight="1">
      <c r="A262" s="46" t="n"/>
      <c r="B262" s="50" t="n"/>
      <c r="C262" s="50" t="n"/>
      <c r="D262" s="50" t="n"/>
      <c r="E262" s="50" t="n"/>
      <c r="F262" s="46" t="n"/>
      <c r="G262" s="46" t="n"/>
      <c r="H262" s="46" t="n"/>
      <c r="I262" s="50" t="n"/>
      <c r="J262" s="50" t="n"/>
      <c r="K262" s="50">
        <f>IF(A262="","",B262+C262)</f>
        <v/>
      </c>
      <c r="L262" s="50">
        <f>IF(A262="","",K262/12)</f>
        <v/>
      </c>
      <c r="M262" s="50">
        <f>IF(A262="","",K262/2080)</f>
        <v/>
      </c>
      <c r="N262" s="50">
        <f>IF(A262="","",B262+C262+D262+E262+I262+J262)</f>
        <v/>
      </c>
      <c r="O262" s="50">
        <f>IF(A262="","",N262*0.25)</f>
        <v/>
      </c>
      <c r="P262" s="50">
        <f>IF(A262="","",N262-O262)</f>
        <v/>
      </c>
      <c r="Q262" s="50">
        <f>IF(A262="","",ROUND(B262*0.4+C262*0.1+D262*0.1+E262*0.1+IF(G262="Yes",5000,0)*0.1+F262*500*0.1+IF(H262="Yes",5000,0)*0.1,0))</f>
        <v/>
      </c>
      <c r="R262" s="46">
        <f>IF(A262="","",ROUND(Q262/1000,1))</f>
        <v/>
      </c>
      <c r="S262" s="46">
        <f>IF(A262="","",RANK(R262,$R$2:$R$500,0))</f>
        <v/>
      </c>
    </row>
    <row r="263" ht="22" customHeight="1">
      <c r="A263" s="48" t="n"/>
      <c r="B263" s="51" t="n"/>
      <c r="C263" s="51" t="n"/>
      <c r="D263" s="51" t="n"/>
      <c r="E263" s="51" t="n"/>
      <c r="F263" s="48" t="n"/>
      <c r="G263" s="48" t="n"/>
      <c r="H263" s="48" t="n"/>
      <c r="I263" s="51" t="n"/>
      <c r="J263" s="51" t="n"/>
      <c r="K263" s="51">
        <f>IF(A263="","",B263+C263)</f>
        <v/>
      </c>
      <c r="L263" s="51">
        <f>IF(A263="","",K263/12)</f>
        <v/>
      </c>
      <c r="M263" s="51">
        <f>IF(A263="","",K263/2080)</f>
        <v/>
      </c>
      <c r="N263" s="51">
        <f>IF(A263="","",B263+C263+D263+E263+I263+J263)</f>
        <v/>
      </c>
      <c r="O263" s="51">
        <f>IF(A263="","",N263*0.25)</f>
        <v/>
      </c>
      <c r="P263" s="51">
        <f>IF(A263="","",N263-O263)</f>
        <v/>
      </c>
      <c r="Q263" s="51">
        <f>IF(A263="","",ROUND(B263*0.4+C263*0.1+D263*0.1+E263*0.1+IF(G263="Yes",5000,0)*0.1+F263*500*0.1+IF(H263="Yes",5000,0)*0.1,0))</f>
        <v/>
      </c>
      <c r="R263" s="48">
        <f>IF(A263="","",ROUND(Q263/1000,1))</f>
        <v/>
      </c>
      <c r="S263" s="48">
        <f>IF(A263="","",RANK(R263,$R$2:$R$500,0))</f>
        <v/>
      </c>
    </row>
    <row r="264" ht="22" customHeight="1">
      <c r="A264" s="46" t="n"/>
      <c r="B264" s="50" t="n"/>
      <c r="C264" s="50" t="n"/>
      <c r="D264" s="50" t="n"/>
      <c r="E264" s="50" t="n"/>
      <c r="F264" s="46" t="n"/>
      <c r="G264" s="46" t="n"/>
      <c r="H264" s="46" t="n"/>
      <c r="I264" s="50" t="n"/>
      <c r="J264" s="50" t="n"/>
      <c r="K264" s="50">
        <f>IF(A264="","",B264+C264)</f>
        <v/>
      </c>
      <c r="L264" s="50">
        <f>IF(A264="","",K264/12)</f>
        <v/>
      </c>
      <c r="M264" s="50">
        <f>IF(A264="","",K264/2080)</f>
        <v/>
      </c>
      <c r="N264" s="50">
        <f>IF(A264="","",B264+C264+D264+E264+I264+J264)</f>
        <v/>
      </c>
      <c r="O264" s="50">
        <f>IF(A264="","",N264*0.25)</f>
        <v/>
      </c>
      <c r="P264" s="50">
        <f>IF(A264="","",N264-O264)</f>
        <v/>
      </c>
      <c r="Q264" s="50">
        <f>IF(A264="","",ROUND(B264*0.4+C264*0.1+D264*0.1+E264*0.1+IF(G264="Yes",5000,0)*0.1+F264*500*0.1+IF(H264="Yes",5000,0)*0.1,0))</f>
        <v/>
      </c>
      <c r="R264" s="46">
        <f>IF(A264="","",ROUND(Q264/1000,1))</f>
        <v/>
      </c>
      <c r="S264" s="46">
        <f>IF(A264="","",RANK(R264,$R$2:$R$500,0))</f>
        <v/>
      </c>
    </row>
    <row r="265" ht="22" customHeight="1">
      <c r="A265" s="48" t="n"/>
      <c r="B265" s="51" t="n"/>
      <c r="C265" s="51" t="n"/>
      <c r="D265" s="51" t="n"/>
      <c r="E265" s="51" t="n"/>
      <c r="F265" s="48" t="n"/>
      <c r="G265" s="48" t="n"/>
      <c r="H265" s="48" t="n"/>
      <c r="I265" s="51" t="n"/>
      <c r="J265" s="51" t="n"/>
      <c r="K265" s="51">
        <f>IF(A265="","",B265+C265)</f>
        <v/>
      </c>
      <c r="L265" s="51">
        <f>IF(A265="","",K265/12)</f>
        <v/>
      </c>
      <c r="M265" s="51">
        <f>IF(A265="","",K265/2080)</f>
        <v/>
      </c>
      <c r="N265" s="51">
        <f>IF(A265="","",B265+C265+D265+E265+I265+J265)</f>
        <v/>
      </c>
      <c r="O265" s="51">
        <f>IF(A265="","",N265*0.25)</f>
        <v/>
      </c>
      <c r="P265" s="51">
        <f>IF(A265="","",N265-O265)</f>
        <v/>
      </c>
      <c r="Q265" s="51">
        <f>IF(A265="","",ROUND(B265*0.4+C265*0.1+D265*0.1+E265*0.1+IF(G265="Yes",5000,0)*0.1+F265*500*0.1+IF(H265="Yes",5000,0)*0.1,0))</f>
        <v/>
      </c>
      <c r="R265" s="48">
        <f>IF(A265="","",ROUND(Q265/1000,1))</f>
        <v/>
      </c>
      <c r="S265" s="48">
        <f>IF(A265="","",RANK(R265,$R$2:$R$500,0))</f>
        <v/>
      </c>
    </row>
    <row r="266" ht="22" customHeight="1">
      <c r="A266" s="46" t="n"/>
      <c r="B266" s="50" t="n"/>
      <c r="C266" s="50" t="n"/>
      <c r="D266" s="50" t="n"/>
      <c r="E266" s="50" t="n"/>
      <c r="F266" s="46" t="n"/>
      <c r="G266" s="46" t="n"/>
      <c r="H266" s="46" t="n"/>
      <c r="I266" s="50" t="n"/>
      <c r="J266" s="50" t="n"/>
      <c r="K266" s="50">
        <f>IF(A266="","",B266+C266)</f>
        <v/>
      </c>
      <c r="L266" s="50">
        <f>IF(A266="","",K266/12)</f>
        <v/>
      </c>
      <c r="M266" s="50">
        <f>IF(A266="","",K266/2080)</f>
        <v/>
      </c>
      <c r="N266" s="50">
        <f>IF(A266="","",B266+C266+D266+E266+I266+J266)</f>
        <v/>
      </c>
      <c r="O266" s="50">
        <f>IF(A266="","",N266*0.25)</f>
        <v/>
      </c>
      <c r="P266" s="50">
        <f>IF(A266="","",N266-O266)</f>
        <v/>
      </c>
      <c r="Q266" s="50">
        <f>IF(A266="","",ROUND(B266*0.4+C266*0.1+D266*0.1+E266*0.1+IF(G266="Yes",5000,0)*0.1+F266*500*0.1+IF(H266="Yes",5000,0)*0.1,0))</f>
        <v/>
      </c>
      <c r="R266" s="46">
        <f>IF(A266="","",ROUND(Q266/1000,1))</f>
        <v/>
      </c>
      <c r="S266" s="46">
        <f>IF(A266="","",RANK(R266,$R$2:$R$500,0))</f>
        <v/>
      </c>
    </row>
    <row r="267" ht="22" customHeight="1">
      <c r="A267" s="48" t="n"/>
      <c r="B267" s="51" t="n"/>
      <c r="C267" s="51" t="n"/>
      <c r="D267" s="51" t="n"/>
      <c r="E267" s="51" t="n"/>
      <c r="F267" s="48" t="n"/>
      <c r="G267" s="48" t="n"/>
      <c r="H267" s="48" t="n"/>
      <c r="I267" s="51" t="n"/>
      <c r="J267" s="51" t="n"/>
      <c r="K267" s="51">
        <f>IF(A267="","",B267+C267)</f>
        <v/>
      </c>
      <c r="L267" s="51">
        <f>IF(A267="","",K267/12)</f>
        <v/>
      </c>
      <c r="M267" s="51">
        <f>IF(A267="","",K267/2080)</f>
        <v/>
      </c>
      <c r="N267" s="51">
        <f>IF(A267="","",B267+C267+D267+E267+I267+J267)</f>
        <v/>
      </c>
      <c r="O267" s="51">
        <f>IF(A267="","",N267*0.25)</f>
        <v/>
      </c>
      <c r="P267" s="51">
        <f>IF(A267="","",N267-O267)</f>
        <v/>
      </c>
      <c r="Q267" s="51">
        <f>IF(A267="","",ROUND(B267*0.4+C267*0.1+D267*0.1+E267*0.1+IF(G267="Yes",5000,0)*0.1+F267*500*0.1+IF(H267="Yes",5000,0)*0.1,0))</f>
        <v/>
      </c>
      <c r="R267" s="48">
        <f>IF(A267="","",ROUND(Q267/1000,1))</f>
        <v/>
      </c>
      <c r="S267" s="48">
        <f>IF(A267="","",RANK(R267,$R$2:$R$500,0))</f>
        <v/>
      </c>
    </row>
    <row r="268" ht="22" customHeight="1">
      <c r="A268" s="46" t="n"/>
      <c r="B268" s="50" t="n"/>
      <c r="C268" s="50" t="n"/>
      <c r="D268" s="50" t="n"/>
      <c r="E268" s="50" t="n"/>
      <c r="F268" s="46" t="n"/>
      <c r="G268" s="46" t="n"/>
      <c r="H268" s="46" t="n"/>
      <c r="I268" s="50" t="n"/>
      <c r="J268" s="50" t="n"/>
      <c r="K268" s="50">
        <f>IF(A268="","",B268+C268)</f>
        <v/>
      </c>
      <c r="L268" s="50">
        <f>IF(A268="","",K268/12)</f>
        <v/>
      </c>
      <c r="M268" s="50">
        <f>IF(A268="","",K268/2080)</f>
        <v/>
      </c>
      <c r="N268" s="50">
        <f>IF(A268="","",B268+C268+D268+E268+I268+J268)</f>
        <v/>
      </c>
      <c r="O268" s="50">
        <f>IF(A268="","",N268*0.25)</f>
        <v/>
      </c>
      <c r="P268" s="50">
        <f>IF(A268="","",N268-O268)</f>
        <v/>
      </c>
      <c r="Q268" s="50">
        <f>IF(A268="","",ROUND(B268*0.4+C268*0.1+D268*0.1+E268*0.1+IF(G268="Yes",5000,0)*0.1+F268*500*0.1+IF(H268="Yes",5000,0)*0.1,0))</f>
        <v/>
      </c>
      <c r="R268" s="46">
        <f>IF(A268="","",ROUND(Q268/1000,1))</f>
        <v/>
      </c>
      <c r="S268" s="46">
        <f>IF(A268="","",RANK(R268,$R$2:$R$500,0))</f>
        <v/>
      </c>
    </row>
    <row r="269" ht="22" customHeight="1">
      <c r="A269" s="48" t="n"/>
      <c r="B269" s="51" t="n"/>
      <c r="C269" s="51" t="n"/>
      <c r="D269" s="51" t="n"/>
      <c r="E269" s="51" t="n"/>
      <c r="F269" s="48" t="n"/>
      <c r="G269" s="48" t="n"/>
      <c r="H269" s="48" t="n"/>
      <c r="I269" s="51" t="n"/>
      <c r="J269" s="51" t="n"/>
      <c r="K269" s="51">
        <f>IF(A269="","",B269+C269)</f>
        <v/>
      </c>
      <c r="L269" s="51">
        <f>IF(A269="","",K269/12)</f>
        <v/>
      </c>
      <c r="M269" s="51">
        <f>IF(A269="","",K269/2080)</f>
        <v/>
      </c>
      <c r="N269" s="51">
        <f>IF(A269="","",B269+C269+D269+E269+I269+J269)</f>
        <v/>
      </c>
      <c r="O269" s="51">
        <f>IF(A269="","",N269*0.25)</f>
        <v/>
      </c>
      <c r="P269" s="51">
        <f>IF(A269="","",N269-O269)</f>
        <v/>
      </c>
      <c r="Q269" s="51">
        <f>IF(A269="","",ROUND(B269*0.4+C269*0.1+D269*0.1+E269*0.1+IF(G269="Yes",5000,0)*0.1+F269*500*0.1+IF(H269="Yes",5000,0)*0.1,0))</f>
        <v/>
      </c>
      <c r="R269" s="48">
        <f>IF(A269="","",ROUND(Q269/1000,1))</f>
        <v/>
      </c>
      <c r="S269" s="48">
        <f>IF(A269="","",RANK(R269,$R$2:$R$500,0))</f>
        <v/>
      </c>
    </row>
    <row r="270" ht="22" customHeight="1">
      <c r="A270" s="46" t="n"/>
      <c r="B270" s="50" t="n"/>
      <c r="C270" s="50" t="n"/>
      <c r="D270" s="50" t="n"/>
      <c r="E270" s="50" t="n"/>
      <c r="F270" s="46" t="n"/>
      <c r="G270" s="46" t="n"/>
      <c r="H270" s="46" t="n"/>
      <c r="I270" s="50" t="n"/>
      <c r="J270" s="50" t="n"/>
      <c r="K270" s="50">
        <f>IF(A270="","",B270+C270)</f>
        <v/>
      </c>
      <c r="L270" s="50">
        <f>IF(A270="","",K270/12)</f>
        <v/>
      </c>
      <c r="M270" s="50">
        <f>IF(A270="","",K270/2080)</f>
        <v/>
      </c>
      <c r="N270" s="50">
        <f>IF(A270="","",B270+C270+D270+E270+I270+J270)</f>
        <v/>
      </c>
      <c r="O270" s="50">
        <f>IF(A270="","",N270*0.25)</f>
        <v/>
      </c>
      <c r="P270" s="50">
        <f>IF(A270="","",N270-O270)</f>
        <v/>
      </c>
      <c r="Q270" s="50">
        <f>IF(A270="","",ROUND(B270*0.4+C270*0.1+D270*0.1+E270*0.1+IF(G270="Yes",5000,0)*0.1+F270*500*0.1+IF(H270="Yes",5000,0)*0.1,0))</f>
        <v/>
      </c>
      <c r="R270" s="46">
        <f>IF(A270="","",ROUND(Q270/1000,1))</f>
        <v/>
      </c>
      <c r="S270" s="46">
        <f>IF(A270="","",RANK(R270,$R$2:$R$500,0))</f>
        <v/>
      </c>
    </row>
    <row r="271" ht="22" customHeight="1">
      <c r="A271" s="48" t="n"/>
      <c r="B271" s="51" t="n"/>
      <c r="C271" s="51" t="n"/>
      <c r="D271" s="51" t="n"/>
      <c r="E271" s="51" t="n"/>
      <c r="F271" s="48" t="n"/>
      <c r="G271" s="48" t="n"/>
      <c r="H271" s="48" t="n"/>
      <c r="I271" s="51" t="n"/>
      <c r="J271" s="51" t="n"/>
      <c r="K271" s="51">
        <f>IF(A271="","",B271+C271)</f>
        <v/>
      </c>
      <c r="L271" s="51">
        <f>IF(A271="","",K271/12)</f>
        <v/>
      </c>
      <c r="M271" s="51">
        <f>IF(A271="","",K271/2080)</f>
        <v/>
      </c>
      <c r="N271" s="51">
        <f>IF(A271="","",B271+C271+D271+E271+I271+J271)</f>
        <v/>
      </c>
      <c r="O271" s="51">
        <f>IF(A271="","",N271*0.25)</f>
        <v/>
      </c>
      <c r="P271" s="51">
        <f>IF(A271="","",N271-O271)</f>
        <v/>
      </c>
      <c r="Q271" s="51">
        <f>IF(A271="","",ROUND(B271*0.4+C271*0.1+D271*0.1+E271*0.1+IF(G271="Yes",5000,0)*0.1+F271*500*0.1+IF(H271="Yes",5000,0)*0.1,0))</f>
        <v/>
      </c>
      <c r="R271" s="48">
        <f>IF(A271="","",ROUND(Q271/1000,1))</f>
        <v/>
      </c>
      <c r="S271" s="48">
        <f>IF(A271="","",RANK(R271,$R$2:$R$500,0))</f>
        <v/>
      </c>
    </row>
    <row r="272" ht="22" customHeight="1">
      <c r="A272" s="46" t="n"/>
      <c r="B272" s="50" t="n"/>
      <c r="C272" s="50" t="n"/>
      <c r="D272" s="50" t="n"/>
      <c r="E272" s="50" t="n"/>
      <c r="F272" s="46" t="n"/>
      <c r="G272" s="46" t="n"/>
      <c r="H272" s="46" t="n"/>
      <c r="I272" s="50" t="n"/>
      <c r="J272" s="50" t="n"/>
      <c r="K272" s="50">
        <f>IF(A272="","",B272+C272)</f>
        <v/>
      </c>
      <c r="L272" s="50">
        <f>IF(A272="","",K272/12)</f>
        <v/>
      </c>
      <c r="M272" s="50">
        <f>IF(A272="","",K272/2080)</f>
        <v/>
      </c>
      <c r="N272" s="50">
        <f>IF(A272="","",B272+C272+D272+E272+I272+J272)</f>
        <v/>
      </c>
      <c r="O272" s="50">
        <f>IF(A272="","",N272*0.25)</f>
        <v/>
      </c>
      <c r="P272" s="50">
        <f>IF(A272="","",N272-O272)</f>
        <v/>
      </c>
      <c r="Q272" s="50">
        <f>IF(A272="","",ROUND(B272*0.4+C272*0.1+D272*0.1+E272*0.1+IF(G272="Yes",5000,0)*0.1+F272*500*0.1+IF(H272="Yes",5000,0)*0.1,0))</f>
        <v/>
      </c>
      <c r="R272" s="46">
        <f>IF(A272="","",ROUND(Q272/1000,1))</f>
        <v/>
      </c>
      <c r="S272" s="46">
        <f>IF(A272="","",RANK(R272,$R$2:$R$500,0))</f>
        <v/>
      </c>
    </row>
    <row r="273" ht="22" customHeight="1">
      <c r="A273" s="48" t="n"/>
      <c r="B273" s="51" t="n"/>
      <c r="C273" s="51" t="n"/>
      <c r="D273" s="51" t="n"/>
      <c r="E273" s="51" t="n"/>
      <c r="F273" s="48" t="n"/>
      <c r="G273" s="48" t="n"/>
      <c r="H273" s="48" t="n"/>
      <c r="I273" s="51" t="n"/>
      <c r="J273" s="51" t="n"/>
      <c r="K273" s="51">
        <f>IF(A273="","",B273+C273)</f>
        <v/>
      </c>
      <c r="L273" s="51">
        <f>IF(A273="","",K273/12)</f>
        <v/>
      </c>
      <c r="M273" s="51">
        <f>IF(A273="","",K273/2080)</f>
        <v/>
      </c>
      <c r="N273" s="51">
        <f>IF(A273="","",B273+C273+D273+E273+I273+J273)</f>
        <v/>
      </c>
      <c r="O273" s="51">
        <f>IF(A273="","",N273*0.25)</f>
        <v/>
      </c>
      <c r="P273" s="51">
        <f>IF(A273="","",N273-O273)</f>
        <v/>
      </c>
      <c r="Q273" s="51">
        <f>IF(A273="","",ROUND(B273*0.4+C273*0.1+D273*0.1+E273*0.1+IF(G273="Yes",5000,0)*0.1+F273*500*0.1+IF(H273="Yes",5000,0)*0.1,0))</f>
        <v/>
      </c>
      <c r="R273" s="48">
        <f>IF(A273="","",ROUND(Q273/1000,1))</f>
        <v/>
      </c>
      <c r="S273" s="48">
        <f>IF(A273="","",RANK(R273,$R$2:$R$500,0))</f>
        <v/>
      </c>
    </row>
    <row r="274" ht="22" customHeight="1">
      <c r="A274" s="46" t="n"/>
      <c r="B274" s="50" t="n"/>
      <c r="C274" s="50" t="n"/>
      <c r="D274" s="50" t="n"/>
      <c r="E274" s="50" t="n"/>
      <c r="F274" s="46" t="n"/>
      <c r="G274" s="46" t="n"/>
      <c r="H274" s="46" t="n"/>
      <c r="I274" s="50" t="n"/>
      <c r="J274" s="50" t="n"/>
      <c r="K274" s="50">
        <f>IF(A274="","",B274+C274)</f>
        <v/>
      </c>
      <c r="L274" s="50">
        <f>IF(A274="","",K274/12)</f>
        <v/>
      </c>
      <c r="M274" s="50">
        <f>IF(A274="","",K274/2080)</f>
        <v/>
      </c>
      <c r="N274" s="50">
        <f>IF(A274="","",B274+C274+D274+E274+I274+J274)</f>
        <v/>
      </c>
      <c r="O274" s="50">
        <f>IF(A274="","",N274*0.25)</f>
        <v/>
      </c>
      <c r="P274" s="50">
        <f>IF(A274="","",N274-O274)</f>
        <v/>
      </c>
      <c r="Q274" s="50">
        <f>IF(A274="","",ROUND(B274*0.4+C274*0.1+D274*0.1+E274*0.1+IF(G274="Yes",5000,0)*0.1+F274*500*0.1+IF(H274="Yes",5000,0)*0.1,0))</f>
        <v/>
      </c>
      <c r="R274" s="46">
        <f>IF(A274="","",ROUND(Q274/1000,1))</f>
        <v/>
      </c>
      <c r="S274" s="46">
        <f>IF(A274="","",RANK(R274,$R$2:$R$500,0))</f>
        <v/>
      </c>
    </row>
    <row r="275" ht="22" customHeight="1">
      <c r="A275" s="48" t="n"/>
      <c r="B275" s="51" t="n"/>
      <c r="C275" s="51" t="n"/>
      <c r="D275" s="51" t="n"/>
      <c r="E275" s="51" t="n"/>
      <c r="F275" s="48" t="n"/>
      <c r="G275" s="48" t="n"/>
      <c r="H275" s="48" t="n"/>
      <c r="I275" s="51" t="n"/>
      <c r="J275" s="51" t="n"/>
      <c r="K275" s="51">
        <f>IF(A275="","",B275+C275)</f>
        <v/>
      </c>
      <c r="L275" s="51">
        <f>IF(A275="","",K275/12)</f>
        <v/>
      </c>
      <c r="M275" s="51">
        <f>IF(A275="","",K275/2080)</f>
        <v/>
      </c>
      <c r="N275" s="51">
        <f>IF(A275="","",B275+C275+D275+E275+I275+J275)</f>
        <v/>
      </c>
      <c r="O275" s="51">
        <f>IF(A275="","",N275*0.25)</f>
        <v/>
      </c>
      <c r="P275" s="51">
        <f>IF(A275="","",N275-O275)</f>
        <v/>
      </c>
      <c r="Q275" s="51">
        <f>IF(A275="","",ROUND(B275*0.4+C275*0.1+D275*0.1+E275*0.1+IF(G275="Yes",5000,0)*0.1+F275*500*0.1+IF(H275="Yes",5000,0)*0.1,0))</f>
        <v/>
      </c>
      <c r="R275" s="48">
        <f>IF(A275="","",ROUND(Q275/1000,1))</f>
        <v/>
      </c>
      <c r="S275" s="48">
        <f>IF(A275="","",RANK(R275,$R$2:$R$500,0))</f>
        <v/>
      </c>
    </row>
    <row r="276" ht="22" customHeight="1">
      <c r="A276" s="46" t="n"/>
      <c r="B276" s="50" t="n"/>
      <c r="C276" s="50" t="n"/>
      <c r="D276" s="50" t="n"/>
      <c r="E276" s="50" t="n"/>
      <c r="F276" s="46" t="n"/>
      <c r="G276" s="46" t="n"/>
      <c r="H276" s="46" t="n"/>
      <c r="I276" s="50" t="n"/>
      <c r="J276" s="50" t="n"/>
      <c r="K276" s="50">
        <f>IF(A276="","",B276+C276)</f>
        <v/>
      </c>
      <c r="L276" s="50">
        <f>IF(A276="","",K276/12)</f>
        <v/>
      </c>
      <c r="M276" s="50">
        <f>IF(A276="","",K276/2080)</f>
        <v/>
      </c>
      <c r="N276" s="50">
        <f>IF(A276="","",B276+C276+D276+E276+I276+J276)</f>
        <v/>
      </c>
      <c r="O276" s="50">
        <f>IF(A276="","",N276*0.25)</f>
        <v/>
      </c>
      <c r="P276" s="50">
        <f>IF(A276="","",N276-O276)</f>
        <v/>
      </c>
      <c r="Q276" s="50">
        <f>IF(A276="","",ROUND(B276*0.4+C276*0.1+D276*0.1+E276*0.1+IF(G276="Yes",5000,0)*0.1+F276*500*0.1+IF(H276="Yes",5000,0)*0.1,0))</f>
        <v/>
      </c>
      <c r="R276" s="46">
        <f>IF(A276="","",ROUND(Q276/1000,1))</f>
        <v/>
      </c>
      <c r="S276" s="46">
        <f>IF(A276="","",RANK(R276,$R$2:$R$500,0))</f>
        <v/>
      </c>
    </row>
    <row r="277" ht="22" customHeight="1">
      <c r="A277" s="48" t="n"/>
      <c r="B277" s="51" t="n"/>
      <c r="C277" s="51" t="n"/>
      <c r="D277" s="51" t="n"/>
      <c r="E277" s="51" t="n"/>
      <c r="F277" s="48" t="n"/>
      <c r="G277" s="48" t="n"/>
      <c r="H277" s="48" t="n"/>
      <c r="I277" s="51" t="n"/>
      <c r="J277" s="51" t="n"/>
      <c r="K277" s="51">
        <f>IF(A277="","",B277+C277)</f>
        <v/>
      </c>
      <c r="L277" s="51">
        <f>IF(A277="","",K277/12)</f>
        <v/>
      </c>
      <c r="M277" s="51">
        <f>IF(A277="","",K277/2080)</f>
        <v/>
      </c>
      <c r="N277" s="51">
        <f>IF(A277="","",B277+C277+D277+E277+I277+J277)</f>
        <v/>
      </c>
      <c r="O277" s="51">
        <f>IF(A277="","",N277*0.25)</f>
        <v/>
      </c>
      <c r="P277" s="51">
        <f>IF(A277="","",N277-O277)</f>
        <v/>
      </c>
      <c r="Q277" s="51">
        <f>IF(A277="","",ROUND(B277*0.4+C277*0.1+D277*0.1+E277*0.1+IF(G277="Yes",5000,0)*0.1+F277*500*0.1+IF(H277="Yes",5000,0)*0.1,0))</f>
        <v/>
      </c>
      <c r="R277" s="48">
        <f>IF(A277="","",ROUND(Q277/1000,1))</f>
        <v/>
      </c>
      <c r="S277" s="48">
        <f>IF(A277="","",RANK(R277,$R$2:$R$500,0))</f>
        <v/>
      </c>
    </row>
    <row r="278" ht="22" customHeight="1">
      <c r="A278" s="46" t="n"/>
      <c r="B278" s="50" t="n"/>
      <c r="C278" s="50" t="n"/>
      <c r="D278" s="50" t="n"/>
      <c r="E278" s="50" t="n"/>
      <c r="F278" s="46" t="n"/>
      <c r="G278" s="46" t="n"/>
      <c r="H278" s="46" t="n"/>
      <c r="I278" s="50" t="n"/>
      <c r="J278" s="50" t="n"/>
      <c r="K278" s="50">
        <f>IF(A278="","",B278+C278)</f>
        <v/>
      </c>
      <c r="L278" s="50">
        <f>IF(A278="","",K278/12)</f>
        <v/>
      </c>
      <c r="M278" s="50">
        <f>IF(A278="","",K278/2080)</f>
        <v/>
      </c>
      <c r="N278" s="50">
        <f>IF(A278="","",B278+C278+D278+E278+I278+J278)</f>
        <v/>
      </c>
      <c r="O278" s="50">
        <f>IF(A278="","",N278*0.25)</f>
        <v/>
      </c>
      <c r="P278" s="50">
        <f>IF(A278="","",N278-O278)</f>
        <v/>
      </c>
      <c r="Q278" s="50">
        <f>IF(A278="","",ROUND(B278*0.4+C278*0.1+D278*0.1+E278*0.1+IF(G278="Yes",5000,0)*0.1+F278*500*0.1+IF(H278="Yes",5000,0)*0.1,0))</f>
        <v/>
      </c>
      <c r="R278" s="46">
        <f>IF(A278="","",ROUND(Q278/1000,1))</f>
        <v/>
      </c>
      <c r="S278" s="46">
        <f>IF(A278="","",RANK(R278,$R$2:$R$500,0))</f>
        <v/>
      </c>
    </row>
    <row r="279" ht="22" customHeight="1">
      <c r="A279" s="48" t="n"/>
      <c r="B279" s="51" t="n"/>
      <c r="C279" s="51" t="n"/>
      <c r="D279" s="51" t="n"/>
      <c r="E279" s="51" t="n"/>
      <c r="F279" s="48" t="n"/>
      <c r="G279" s="48" t="n"/>
      <c r="H279" s="48" t="n"/>
      <c r="I279" s="51" t="n"/>
      <c r="J279" s="51" t="n"/>
      <c r="K279" s="51">
        <f>IF(A279="","",B279+C279)</f>
        <v/>
      </c>
      <c r="L279" s="51">
        <f>IF(A279="","",K279/12)</f>
        <v/>
      </c>
      <c r="M279" s="51">
        <f>IF(A279="","",K279/2080)</f>
        <v/>
      </c>
      <c r="N279" s="51">
        <f>IF(A279="","",B279+C279+D279+E279+I279+J279)</f>
        <v/>
      </c>
      <c r="O279" s="51">
        <f>IF(A279="","",N279*0.25)</f>
        <v/>
      </c>
      <c r="P279" s="51">
        <f>IF(A279="","",N279-O279)</f>
        <v/>
      </c>
      <c r="Q279" s="51">
        <f>IF(A279="","",ROUND(B279*0.4+C279*0.1+D279*0.1+E279*0.1+IF(G279="Yes",5000,0)*0.1+F279*500*0.1+IF(H279="Yes",5000,0)*0.1,0))</f>
        <v/>
      </c>
      <c r="R279" s="48">
        <f>IF(A279="","",ROUND(Q279/1000,1))</f>
        <v/>
      </c>
      <c r="S279" s="48">
        <f>IF(A279="","",RANK(R279,$R$2:$R$500,0))</f>
        <v/>
      </c>
    </row>
    <row r="280" ht="22" customHeight="1">
      <c r="A280" s="46" t="n"/>
      <c r="B280" s="50" t="n"/>
      <c r="C280" s="50" t="n"/>
      <c r="D280" s="50" t="n"/>
      <c r="E280" s="50" t="n"/>
      <c r="F280" s="46" t="n"/>
      <c r="G280" s="46" t="n"/>
      <c r="H280" s="46" t="n"/>
      <c r="I280" s="50" t="n"/>
      <c r="J280" s="50" t="n"/>
      <c r="K280" s="50">
        <f>IF(A280="","",B280+C280)</f>
        <v/>
      </c>
      <c r="L280" s="50">
        <f>IF(A280="","",K280/12)</f>
        <v/>
      </c>
      <c r="M280" s="50">
        <f>IF(A280="","",K280/2080)</f>
        <v/>
      </c>
      <c r="N280" s="50">
        <f>IF(A280="","",B280+C280+D280+E280+I280+J280)</f>
        <v/>
      </c>
      <c r="O280" s="50">
        <f>IF(A280="","",N280*0.25)</f>
        <v/>
      </c>
      <c r="P280" s="50">
        <f>IF(A280="","",N280-O280)</f>
        <v/>
      </c>
      <c r="Q280" s="50">
        <f>IF(A280="","",ROUND(B280*0.4+C280*0.1+D280*0.1+E280*0.1+IF(G280="Yes",5000,0)*0.1+F280*500*0.1+IF(H280="Yes",5000,0)*0.1,0))</f>
        <v/>
      </c>
      <c r="R280" s="46">
        <f>IF(A280="","",ROUND(Q280/1000,1))</f>
        <v/>
      </c>
      <c r="S280" s="46">
        <f>IF(A280="","",RANK(R280,$R$2:$R$500,0))</f>
        <v/>
      </c>
    </row>
    <row r="281" ht="22" customHeight="1">
      <c r="A281" s="48" t="n"/>
      <c r="B281" s="51" t="n"/>
      <c r="C281" s="51" t="n"/>
      <c r="D281" s="51" t="n"/>
      <c r="E281" s="51" t="n"/>
      <c r="F281" s="48" t="n"/>
      <c r="G281" s="48" t="n"/>
      <c r="H281" s="48" t="n"/>
      <c r="I281" s="51" t="n"/>
      <c r="J281" s="51" t="n"/>
      <c r="K281" s="51">
        <f>IF(A281="","",B281+C281)</f>
        <v/>
      </c>
      <c r="L281" s="51">
        <f>IF(A281="","",K281/12)</f>
        <v/>
      </c>
      <c r="M281" s="51">
        <f>IF(A281="","",K281/2080)</f>
        <v/>
      </c>
      <c r="N281" s="51">
        <f>IF(A281="","",B281+C281+D281+E281+I281+J281)</f>
        <v/>
      </c>
      <c r="O281" s="51">
        <f>IF(A281="","",N281*0.25)</f>
        <v/>
      </c>
      <c r="P281" s="51">
        <f>IF(A281="","",N281-O281)</f>
        <v/>
      </c>
      <c r="Q281" s="51">
        <f>IF(A281="","",ROUND(B281*0.4+C281*0.1+D281*0.1+E281*0.1+IF(G281="Yes",5000,0)*0.1+F281*500*0.1+IF(H281="Yes",5000,0)*0.1,0))</f>
        <v/>
      </c>
      <c r="R281" s="48">
        <f>IF(A281="","",ROUND(Q281/1000,1))</f>
        <v/>
      </c>
      <c r="S281" s="48">
        <f>IF(A281="","",RANK(R281,$R$2:$R$500,0))</f>
        <v/>
      </c>
    </row>
    <row r="282" ht="22" customHeight="1">
      <c r="A282" s="46" t="n"/>
      <c r="B282" s="50" t="n"/>
      <c r="C282" s="50" t="n"/>
      <c r="D282" s="50" t="n"/>
      <c r="E282" s="50" t="n"/>
      <c r="F282" s="46" t="n"/>
      <c r="G282" s="46" t="n"/>
      <c r="H282" s="46" t="n"/>
      <c r="I282" s="50" t="n"/>
      <c r="J282" s="50" t="n"/>
      <c r="K282" s="50">
        <f>IF(A282="","",B282+C282)</f>
        <v/>
      </c>
      <c r="L282" s="50">
        <f>IF(A282="","",K282/12)</f>
        <v/>
      </c>
      <c r="M282" s="50">
        <f>IF(A282="","",K282/2080)</f>
        <v/>
      </c>
      <c r="N282" s="50">
        <f>IF(A282="","",B282+C282+D282+E282+I282+J282)</f>
        <v/>
      </c>
      <c r="O282" s="50">
        <f>IF(A282="","",N282*0.25)</f>
        <v/>
      </c>
      <c r="P282" s="50">
        <f>IF(A282="","",N282-O282)</f>
        <v/>
      </c>
      <c r="Q282" s="50">
        <f>IF(A282="","",ROUND(B282*0.4+C282*0.1+D282*0.1+E282*0.1+IF(G282="Yes",5000,0)*0.1+F282*500*0.1+IF(H282="Yes",5000,0)*0.1,0))</f>
        <v/>
      </c>
      <c r="R282" s="46">
        <f>IF(A282="","",ROUND(Q282/1000,1))</f>
        <v/>
      </c>
      <c r="S282" s="46">
        <f>IF(A282="","",RANK(R282,$R$2:$R$500,0))</f>
        <v/>
      </c>
    </row>
    <row r="283" ht="22" customHeight="1">
      <c r="A283" s="48" t="n"/>
      <c r="B283" s="51" t="n"/>
      <c r="C283" s="51" t="n"/>
      <c r="D283" s="51" t="n"/>
      <c r="E283" s="51" t="n"/>
      <c r="F283" s="48" t="n"/>
      <c r="G283" s="48" t="n"/>
      <c r="H283" s="48" t="n"/>
      <c r="I283" s="51" t="n"/>
      <c r="J283" s="51" t="n"/>
      <c r="K283" s="51">
        <f>IF(A283="","",B283+C283)</f>
        <v/>
      </c>
      <c r="L283" s="51">
        <f>IF(A283="","",K283/12)</f>
        <v/>
      </c>
      <c r="M283" s="51">
        <f>IF(A283="","",K283/2080)</f>
        <v/>
      </c>
      <c r="N283" s="51">
        <f>IF(A283="","",B283+C283+D283+E283+I283+J283)</f>
        <v/>
      </c>
      <c r="O283" s="51">
        <f>IF(A283="","",N283*0.25)</f>
        <v/>
      </c>
      <c r="P283" s="51">
        <f>IF(A283="","",N283-O283)</f>
        <v/>
      </c>
      <c r="Q283" s="51">
        <f>IF(A283="","",ROUND(B283*0.4+C283*0.1+D283*0.1+E283*0.1+IF(G283="Yes",5000,0)*0.1+F283*500*0.1+IF(H283="Yes",5000,0)*0.1,0))</f>
        <v/>
      </c>
      <c r="R283" s="48">
        <f>IF(A283="","",ROUND(Q283/1000,1))</f>
        <v/>
      </c>
      <c r="S283" s="48">
        <f>IF(A283="","",RANK(R283,$R$2:$R$500,0))</f>
        <v/>
      </c>
    </row>
    <row r="284" ht="22" customHeight="1">
      <c r="A284" s="46" t="n"/>
      <c r="B284" s="50" t="n"/>
      <c r="C284" s="50" t="n"/>
      <c r="D284" s="50" t="n"/>
      <c r="E284" s="50" t="n"/>
      <c r="F284" s="46" t="n"/>
      <c r="G284" s="46" t="n"/>
      <c r="H284" s="46" t="n"/>
      <c r="I284" s="50" t="n"/>
      <c r="J284" s="50" t="n"/>
      <c r="K284" s="50">
        <f>IF(A284="","",B284+C284)</f>
        <v/>
      </c>
      <c r="L284" s="50">
        <f>IF(A284="","",K284/12)</f>
        <v/>
      </c>
      <c r="M284" s="50">
        <f>IF(A284="","",K284/2080)</f>
        <v/>
      </c>
      <c r="N284" s="50">
        <f>IF(A284="","",B284+C284+D284+E284+I284+J284)</f>
        <v/>
      </c>
      <c r="O284" s="50">
        <f>IF(A284="","",N284*0.25)</f>
        <v/>
      </c>
      <c r="P284" s="50">
        <f>IF(A284="","",N284-O284)</f>
        <v/>
      </c>
      <c r="Q284" s="50">
        <f>IF(A284="","",ROUND(B284*0.4+C284*0.1+D284*0.1+E284*0.1+IF(G284="Yes",5000,0)*0.1+F284*500*0.1+IF(H284="Yes",5000,0)*0.1,0))</f>
        <v/>
      </c>
      <c r="R284" s="46">
        <f>IF(A284="","",ROUND(Q284/1000,1))</f>
        <v/>
      </c>
      <c r="S284" s="46">
        <f>IF(A284="","",RANK(R284,$R$2:$R$500,0))</f>
        <v/>
      </c>
    </row>
    <row r="285" ht="22" customHeight="1">
      <c r="A285" s="48" t="n"/>
      <c r="B285" s="51" t="n"/>
      <c r="C285" s="51" t="n"/>
      <c r="D285" s="51" t="n"/>
      <c r="E285" s="51" t="n"/>
      <c r="F285" s="48" t="n"/>
      <c r="G285" s="48" t="n"/>
      <c r="H285" s="48" t="n"/>
      <c r="I285" s="51" t="n"/>
      <c r="J285" s="51" t="n"/>
      <c r="K285" s="51">
        <f>IF(A285="","",B285+C285)</f>
        <v/>
      </c>
      <c r="L285" s="51">
        <f>IF(A285="","",K285/12)</f>
        <v/>
      </c>
      <c r="M285" s="51">
        <f>IF(A285="","",K285/2080)</f>
        <v/>
      </c>
      <c r="N285" s="51">
        <f>IF(A285="","",B285+C285+D285+E285+I285+J285)</f>
        <v/>
      </c>
      <c r="O285" s="51">
        <f>IF(A285="","",N285*0.25)</f>
        <v/>
      </c>
      <c r="P285" s="51">
        <f>IF(A285="","",N285-O285)</f>
        <v/>
      </c>
      <c r="Q285" s="51">
        <f>IF(A285="","",ROUND(B285*0.4+C285*0.1+D285*0.1+E285*0.1+IF(G285="Yes",5000,0)*0.1+F285*500*0.1+IF(H285="Yes",5000,0)*0.1,0))</f>
        <v/>
      </c>
      <c r="R285" s="48">
        <f>IF(A285="","",ROUND(Q285/1000,1))</f>
        <v/>
      </c>
      <c r="S285" s="48">
        <f>IF(A285="","",RANK(R285,$R$2:$R$500,0))</f>
        <v/>
      </c>
    </row>
    <row r="286" ht="22" customHeight="1">
      <c r="A286" s="46" t="n"/>
      <c r="B286" s="50" t="n"/>
      <c r="C286" s="50" t="n"/>
      <c r="D286" s="50" t="n"/>
      <c r="E286" s="50" t="n"/>
      <c r="F286" s="46" t="n"/>
      <c r="G286" s="46" t="n"/>
      <c r="H286" s="46" t="n"/>
      <c r="I286" s="50" t="n"/>
      <c r="J286" s="50" t="n"/>
      <c r="K286" s="50">
        <f>IF(A286="","",B286+C286)</f>
        <v/>
      </c>
      <c r="L286" s="50">
        <f>IF(A286="","",K286/12)</f>
        <v/>
      </c>
      <c r="M286" s="50">
        <f>IF(A286="","",K286/2080)</f>
        <v/>
      </c>
      <c r="N286" s="50">
        <f>IF(A286="","",B286+C286+D286+E286+I286+J286)</f>
        <v/>
      </c>
      <c r="O286" s="50">
        <f>IF(A286="","",N286*0.25)</f>
        <v/>
      </c>
      <c r="P286" s="50">
        <f>IF(A286="","",N286-O286)</f>
        <v/>
      </c>
      <c r="Q286" s="50">
        <f>IF(A286="","",ROUND(B286*0.4+C286*0.1+D286*0.1+E286*0.1+IF(G286="Yes",5000,0)*0.1+F286*500*0.1+IF(H286="Yes",5000,0)*0.1,0))</f>
        <v/>
      </c>
      <c r="R286" s="46">
        <f>IF(A286="","",ROUND(Q286/1000,1))</f>
        <v/>
      </c>
      <c r="S286" s="46">
        <f>IF(A286="","",RANK(R286,$R$2:$R$500,0))</f>
        <v/>
      </c>
    </row>
    <row r="287" ht="22" customHeight="1">
      <c r="A287" s="48" t="n"/>
      <c r="B287" s="51" t="n"/>
      <c r="C287" s="51" t="n"/>
      <c r="D287" s="51" t="n"/>
      <c r="E287" s="51" t="n"/>
      <c r="F287" s="48" t="n"/>
      <c r="G287" s="48" t="n"/>
      <c r="H287" s="48" t="n"/>
      <c r="I287" s="51" t="n"/>
      <c r="J287" s="51" t="n"/>
      <c r="K287" s="51">
        <f>IF(A287="","",B287+C287)</f>
        <v/>
      </c>
      <c r="L287" s="51">
        <f>IF(A287="","",K287/12)</f>
        <v/>
      </c>
      <c r="M287" s="51">
        <f>IF(A287="","",K287/2080)</f>
        <v/>
      </c>
      <c r="N287" s="51">
        <f>IF(A287="","",B287+C287+D287+E287+I287+J287)</f>
        <v/>
      </c>
      <c r="O287" s="51">
        <f>IF(A287="","",N287*0.25)</f>
        <v/>
      </c>
      <c r="P287" s="51">
        <f>IF(A287="","",N287-O287)</f>
        <v/>
      </c>
      <c r="Q287" s="51">
        <f>IF(A287="","",ROUND(B287*0.4+C287*0.1+D287*0.1+E287*0.1+IF(G287="Yes",5000,0)*0.1+F287*500*0.1+IF(H287="Yes",5000,0)*0.1,0))</f>
        <v/>
      </c>
      <c r="R287" s="48">
        <f>IF(A287="","",ROUND(Q287/1000,1))</f>
        <v/>
      </c>
      <c r="S287" s="48">
        <f>IF(A287="","",RANK(R287,$R$2:$R$500,0))</f>
        <v/>
      </c>
    </row>
    <row r="288" ht="22" customHeight="1">
      <c r="A288" s="46" t="n"/>
      <c r="B288" s="50" t="n"/>
      <c r="C288" s="50" t="n"/>
      <c r="D288" s="50" t="n"/>
      <c r="E288" s="50" t="n"/>
      <c r="F288" s="46" t="n"/>
      <c r="G288" s="46" t="n"/>
      <c r="H288" s="46" t="n"/>
      <c r="I288" s="50" t="n"/>
      <c r="J288" s="50" t="n"/>
      <c r="K288" s="50">
        <f>IF(A288="","",B288+C288)</f>
        <v/>
      </c>
      <c r="L288" s="50">
        <f>IF(A288="","",K288/12)</f>
        <v/>
      </c>
      <c r="M288" s="50">
        <f>IF(A288="","",K288/2080)</f>
        <v/>
      </c>
      <c r="N288" s="50">
        <f>IF(A288="","",B288+C288+D288+E288+I288+J288)</f>
        <v/>
      </c>
      <c r="O288" s="50">
        <f>IF(A288="","",N288*0.25)</f>
        <v/>
      </c>
      <c r="P288" s="50">
        <f>IF(A288="","",N288-O288)</f>
        <v/>
      </c>
      <c r="Q288" s="50">
        <f>IF(A288="","",ROUND(B288*0.4+C288*0.1+D288*0.1+E288*0.1+IF(G288="Yes",5000,0)*0.1+F288*500*0.1+IF(H288="Yes",5000,0)*0.1,0))</f>
        <v/>
      </c>
      <c r="R288" s="46">
        <f>IF(A288="","",ROUND(Q288/1000,1))</f>
        <v/>
      </c>
      <c r="S288" s="46">
        <f>IF(A288="","",RANK(R288,$R$2:$R$500,0))</f>
        <v/>
      </c>
    </row>
    <row r="289" ht="22" customHeight="1">
      <c r="A289" s="48" t="n"/>
      <c r="B289" s="51" t="n"/>
      <c r="C289" s="51" t="n"/>
      <c r="D289" s="51" t="n"/>
      <c r="E289" s="51" t="n"/>
      <c r="F289" s="48" t="n"/>
      <c r="G289" s="48" t="n"/>
      <c r="H289" s="48" t="n"/>
      <c r="I289" s="51" t="n"/>
      <c r="J289" s="51" t="n"/>
      <c r="K289" s="51">
        <f>IF(A289="","",B289+C289)</f>
        <v/>
      </c>
      <c r="L289" s="51">
        <f>IF(A289="","",K289/12)</f>
        <v/>
      </c>
      <c r="M289" s="51">
        <f>IF(A289="","",K289/2080)</f>
        <v/>
      </c>
      <c r="N289" s="51">
        <f>IF(A289="","",B289+C289+D289+E289+I289+J289)</f>
        <v/>
      </c>
      <c r="O289" s="51">
        <f>IF(A289="","",N289*0.25)</f>
        <v/>
      </c>
      <c r="P289" s="51">
        <f>IF(A289="","",N289-O289)</f>
        <v/>
      </c>
      <c r="Q289" s="51">
        <f>IF(A289="","",ROUND(B289*0.4+C289*0.1+D289*0.1+E289*0.1+IF(G289="Yes",5000,0)*0.1+F289*500*0.1+IF(H289="Yes",5000,0)*0.1,0))</f>
        <v/>
      </c>
      <c r="R289" s="48">
        <f>IF(A289="","",ROUND(Q289/1000,1))</f>
        <v/>
      </c>
      <c r="S289" s="48">
        <f>IF(A289="","",RANK(R289,$R$2:$R$500,0))</f>
        <v/>
      </c>
    </row>
    <row r="290" ht="22" customHeight="1">
      <c r="A290" s="46" t="n"/>
      <c r="B290" s="50" t="n"/>
      <c r="C290" s="50" t="n"/>
      <c r="D290" s="50" t="n"/>
      <c r="E290" s="50" t="n"/>
      <c r="F290" s="46" t="n"/>
      <c r="G290" s="46" t="n"/>
      <c r="H290" s="46" t="n"/>
      <c r="I290" s="50" t="n"/>
      <c r="J290" s="50" t="n"/>
      <c r="K290" s="50">
        <f>IF(A290="","",B290+C290)</f>
        <v/>
      </c>
      <c r="L290" s="50">
        <f>IF(A290="","",K290/12)</f>
        <v/>
      </c>
      <c r="M290" s="50">
        <f>IF(A290="","",K290/2080)</f>
        <v/>
      </c>
      <c r="N290" s="50">
        <f>IF(A290="","",B290+C290+D290+E290+I290+J290)</f>
        <v/>
      </c>
      <c r="O290" s="50">
        <f>IF(A290="","",N290*0.25)</f>
        <v/>
      </c>
      <c r="P290" s="50">
        <f>IF(A290="","",N290-O290)</f>
        <v/>
      </c>
      <c r="Q290" s="50">
        <f>IF(A290="","",ROUND(B290*0.4+C290*0.1+D290*0.1+E290*0.1+IF(G290="Yes",5000,0)*0.1+F290*500*0.1+IF(H290="Yes",5000,0)*0.1,0))</f>
        <v/>
      </c>
      <c r="R290" s="46">
        <f>IF(A290="","",ROUND(Q290/1000,1))</f>
        <v/>
      </c>
      <c r="S290" s="46">
        <f>IF(A290="","",RANK(R290,$R$2:$R$500,0))</f>
        <v/>
      </c>
    </row>
    <row r="291" ht="22" customHeight="1">
      <c r="A291" s="48" t="n"/>
      <c r="B291" s="51" t="n"/>
      <c r="C291" s="51" t="n"/>
      <c r="D291" s="51" t="n"/>
      <c r="E291" s="51" t="n"/>
      <c r="F291" s="48" t="n"/>
      <c r="G291" s="48" t="n"/>
      <c r="H291" s="48" t="n"/>
      <c r="I291" s="51" t="n"/>
      <c r="J291" s="51" t="n"/>
      <c r="K291" s="51">
        <f>IF(A291="","",B291+C291)</f>
        <v/>
      </c>
      <c r="L291" s="51">
        <f>IF(A291="","",K291/12)</f>
        <v/>
      </c>
      <c r="M291" s="51">
        <f>IF(A291="","",K291/2080)</f>
        <v/>
      </c>
      <c r="N291" s="51">
        <f>IF(A291="","",B291+C291+D291+E291+I291+J291)</f>
        <v/>
      </c>
      <c r="O291" s="51">
        <f>IF(A291="","",N291*0.25)</f>
        <v/>
      </c>
      <c r="P291" s="51">
        <f>IF(A291="","",N291-O291)</f>
        <v/>
      </c>
      <c r="Q291" s="51">
        <f>IF(A291="","",ROUND(B291*0.4+C291*0.1+D291*0.1+E291*0.1+IF(G291="Yes",5000,0)*0.1+F291*500*0.1+IF(H291="Yes",5000,0)*0.1,0))</f>
        <v/>
      </c>
      <c r="R291" s="48">
        <f>IF(A291="","",ROUND(Q291/1000,1))</f>
        <v/>
      </c>
      <c r="S291" s="48">
        <f>IF(A291="","",RANK(R291,$R$2:$R$500,0))</f>
        <v/>
      </c>
    </row>
    <row r="292" ht="22" customHeight="1">
      <c r="A292" s="46" t="n"/>
      <c r="B292" s="50" t="n"/>
      <c r="C292" s="50" t="n"/>
      <c r="D292" s="50" t="n"/>
      <c r="E292" s="50" t="n"/>
      <c r="F292" s="46" t="n"/>
      <c r="G292" s="46" t="n"/>
      <c r="H292" s="46" t="n"/>
      <c r="I292" s="50" t="n"/>
      <c r="J292" s="50" t="n"/>
      <c r="K292" s="50">
        <f>IF(A292="","",B292+C292)</f>
        <v/>
      </c>
      <c r="L292" s="50">
        <f>IF(A292="","",K292/12)</f>
        <v/>
      </c>
      <c r="M292" s="50">
        <f>IF(A292="","",K292/2080)</f>
        <v/>
      </c>
      <c r="N292" s="50">
        <f>IF(A292="","",B292+C292+D292+E292+I292+J292)</f>
        <v/>
      </c>
      <c r="O292" s="50">
        <f>IF(A292="","",N292*0.25)</f>
        <v/>
      </c>
      <c r="P292" s="50">
        <f>IF(A292="","",N292-O292)</f>
        <v/>
      </c>
      <c r="Q292" s="50">
        <f>IF(A292="","",ROUND(B292*0.4+C292*0.1+D292*0.1+E292*0.1+IF(G292="Yes",5000,0)*0.1+F292*500*0.1+IF(H292="Yes",5000,0)*0.1,0))</f>
        <v/>
      </c>
      <c r="R292" s="46">
        <f>IF(A292="","",ROUND(Q292/1000,1))</f>
        <v/>
      </c>
      <c r="S292" s="46">
        <f>IF(A292="","",RANK(R292,$R$2:$R$500,0))</f>
        <v/>
      </c>
    </row>
    <row r="293" ht="22" customHeight="1">
      <c r="A293" s="48" t="n"/>
      <c r="B293" s="51" t="n"/>
      <c r="C293" s="51" t="n"/>
      <c r="D293" s="51" t="n"/>
      <c r="E293" s="51" t="n"/>
      <c r="F293" s="48" t="n"/>
      <c r="G293" s="48" t="n"/>
      <c r="H293" s="48" t="n"/>
      <c r="I293" s="51" t="n"/>
      <c r="J293" s="51" t="n"/>
      <c r="K293" s="51">
        <f>IF(A293="","",B293+C293)</f>
        <v/>
      </c>
      <c r="L293" s="51">
        <f>IF(A293="","",K293/12)</f>
        <v/>
      </c>
      <c r="M293" s="51">
        <f>IF(A293="","",K293/2080)</f>
        <v/>
      </c>
      <c r="N293" s="51">
        <f>IF(A293="","",B293+C293+D293+E293+I293+J293)</f>
        <v/>
      </c>
      <c r="O293" s="51">
        <f>IF(A293="","",N293*0.25)</f>
        <v/>
      </c>
      <c r="P293" s="51">
        <f>IF(A293="","",N293-O293)</f>
        <v/>
      </c>
      <c r="Q293" s="51">
        <f>IF(A293="","",ROUND(B293*0.4+C293*0.1+D293*0.1+E293*0.1+IF(G293="Yes",5000,0)*0.1+F293*500*0.1+IF(H293="Yes",5000,0)*0.1,0))</f>
        <v/>
      </c>
      <c r="R293" s="48">
        <f>IF(A293="","",ROUND(Q293/1000,1))</f>
        <v/>
      </c>
      <c r="S293" s="48">
        <f>IF(A293="","",RANK(R293,$R$2:$R$500,0))</f>
        <v/>
      </c>
    </row>
    <row r="294" ht="22" customHeight="1">
      <c r="A294" s="46" t="n"/>
      <c r="B294" s="50" t="n"/>
      <c r="C294" s="50" t="n"/>
      <c r="D294" s="50" t="n"/>
      <c r="E294" s="50" t="n"/>
      <c r="F294" s="46" t="n"/>
      <c r="G294" s="46" t="n"/>
      <c r="H294" s="46" t="n"/>
      <c r="I294" s="50" t="n"/>
      <c r="J294" s="50" t="n"/>
      <c r="K294" s="50">
        <f>IF(A294="","",B294+C294)</f>
        <v/>
      </c>
      <c r="L294" s="50">
        <f>IF(A294="","",K294/12)</f>
        <v/>
      </c>
      <c r="M294" s="50">
        <f>IF(A294="","",K294/2080)</f>
        <v/>
      </c>
      <c r="N294" s="50">
        <f>IF(A294="","",B294+C294+D294+E294+I294+J294)</f>
        <v/>
      </c>
      <c r="O294" s="50">
        <f>IF(A294="","",N294*0.25)</f>
        <v/>
      </c>
      <c r="P294" s="50">
        <f>IF(A294="","",N294-O294)</f>
        <v/>
      </c>
      <c r="Q294" s="50">
        <f>IF(A294="","",ROUND(B294*0.4+C294*0.1+D294*0.1+E294*0.1+IF(G294="Yes",5000,0)*0.1+F294*500*0.1+IF(H294="Yes",5000,0)*0.1,0))</f>
        <v/>
      </c>
      <c r="R294" s="46">
        <f>IF(A294="","",ROUND(Q294/1000,1))</f>
        <v/>
      </c>
      <c r="S294" s="46">
        <f>IF(A294="","",RANK(R294,$R$2:$R$500,0))</f>
        <v/>
      </c>
    </row>
    <row r="295" ht="22" customHeight="1">
      <c r="A295" s="48" t="n"/>
      <c r="B295" s="51" t="n"/>
      <c r="C295" s="51" t="n"/>
      <c r="D295" s="51" t="n"/>
      <c r="E295" s="51" t="n"/>
      <c r="F295" s="48" t="n"/>
      <c r="G295" s="48" t="n"/>
      <c r="H295" s="48" t="n"/>
      <c r="I295" s="51" t="n"/>
      <c r="J295" s="51" t="n"/>
      <c r="K295" s="51">
        <f>IF(A295="","",B295+C295)</f>
        <v/>
      </c>
      <c r="L295" s="51">
        <f>IF(A295="","",K295/12)</f>
        <v/>
      </c>
      <c r="M295" s="51">
        <f>IF(A295="","",K295/2080)</f>
        <v/>
      </c>
      <c r="N295" s="51">
        <f>IF(A295="","",B295+C295+D295+E295+I295+J295)</f>
        <v/>
      </c>
      <c r="O295" s="51">
        <f>IF(A295="","",N295*0.25)</f>
        <v/>
      </c>
      <c r="P295" s="51">
        <f>IF(A295="","",N295-O295)</f>
        <v/>
      </c>
      <c r="Q295" s="51">
        <f>IF(A295="","",ROUND(B295*0.4+C295*0.1+D295*0.1+E295*0.1+IF(G295="Yes",5000,0)*0.1+F295*500*0.1+IF(H295="Yes",5000,0)*0.1,0))</f>
        <v/>
      </c>
      <c r="R295" s="48">
        <f>IF(A295="","",ROUND(Q295/1000,1))</f>
        <v/>
      </c>
      <c r="S295" s="48">
        <f>IF(A295="","",RANK(R295,$R$2:$R$500,0))</f>
        <v/>
      </c>
    </row>
    <row r="296" ht="22" customHeight="1">
      <c r="A296" s="46" t="n"/>
      <c r="B296" s="50" t="n"/>
      <c r="C296" s="50" t="n"/>
      <c r="D296" s="50" t="n"/>
      <c r="E296" s="50" t="n"/>
      <c r="F296" s="46" t="n"/>
      <c r="G296" s="46" t="n"/>
      <c r="H296" s="46" t="n"/>
      <c r="I296" s="50" t="n"/>
      <c r="J296" s="50" t="n"/>
      <c r="K296" s="50">
        <f>IF(A296="","",B296+C296)</f>
        <v/>
      </c>
      <c r="L296" s="50">
        <f>IF(A296="","",K296/12)</f>
        <v/>
      </c>
      <c r="M296" s="50">
        <f>IF(A296="","",K296/2080)</f>
        <v/>
      </c>
      <c r="N296" s="50">
        <f>IF(A296="","",B296+C296+D296+E296+I296+J296)</f>
        <v/>
      </c>
      <c r="O296" s="50">
        <f>IF(A296="","",N296*0.25)</f>
        <v/>
      </c>
      <c r="P296" s="50">
        <f>IF(A296="","",N296-O296)</f>
        <v/>
      </c>
      <c r="Q296" s="50">
        <f>IF(A296="","",ROUND(B296*0.4+C296*0.1+D296*0.1+E296*0.1+IF(G296="Yes",5000,0)*0.1+F296*500*0.1+IF(H296="Yes",5000,0)*0.1,0))</f>
        <v/>
      </c>
      <c r="R296" s="46">
        <f>IF(A296="","",ROUND(Q296/1000,1))</f>
        <v/>
      </c>
      <c r="S296" s="46">
        <f>IF(A296="","",RANK(R296,$R$2:$R$500,0))</f>
        <v/>
      </c>
    </row>
    <row r="297" ht="22" customHeight="1">
      <c r="A297" s="48" t="n"/>
      <c r="B297" s="51" t="n"/>
      <c r="C297" s="51" t="n"/>
      <c r="D297" s="51" t="n"/>
      <c r="E297" s="51" t="n"/>
      <c r="F297" s="48" t="n"/>
      <c r="G297" s="48" t="n"/>
      <c r="H297" s="48" t="n"/>
      <c r="I297" s="51" t="n"/>
      <c r="J297" s="51" t="n"/>
      <c r="K297" s="51">
        <f>IF(A297="","",B297+C297)</f>
        <v/>
      </c>
      <c r="L297" s="51">
        <f>IF(A297="","",K297/12)</f>
        <v/>
      </c>
      <c r="M297" s="51">
        <f>IF(A297="","",K297/2080)</f>
        <v/>
      </c>
      <c r="N297" s="51">
        <f>IF(A297="","",B297+C297+D297+E297+I297+J297)</f>
        <v/>
      </c>
      <c r="O297" s="51">
        <f>IF(A297="","",N297*0.25)</f>
        <v/>
      </c>
      <c r="P297" s="51">
        <f>IF(A297="","",N297-O297)</f>
        <v/>
      </c>
      <c r="Q297" s="51">
        <f>IF(A297="","",ROUND(B297*0.4+C297*0.1+D297*0.1+E297*0.1+IF(G297="Yes",5000,0)*0.1+F297*500*0.1+IF(H297="Yes",5000,0)*0.1,0))</f>
        <v/>
      </c>
      <c r="R297" s="48">
        <f>IF(A297="","",ROUND(Q297/1000,1))</f>
        <v/>
      </c>
      <c r="S297" s="48">
        <f>IF(A297="","",RANK(R297,$R$2:$R$500,0))</f>
        <v/>
      </c>
    </row>
    <row r="298" ht="22" customHeight="1">
      <c r="A298" s="46" t="n"/>
      <c r="B298" s="50" t="n"/>
      <c r="C298" s="50" t="n"/>
      <c r="D298" s="50" t="n"/>
      <c r="E298" s="50" t="n"/>
      <c r="F298" s="46" t="n"/>
      <c r="G298" s="46" t="n"/>
      <c r="H298" s="46" t="n"/>
      <c r="I298" s="50" t="n"/>
      <c r="J298" s="50" t="n"/>
      <c r="K298" s="50">
        <f>IF(A298="","",B298+C298)</f>
        <v/>
      </c>
      <c r="L298" s="50">
        <f>IF(A298="","",K298/12)</f>
        <v/>
      </c>
      <c r="M298" s="50">
        <f>IF(A298="","",K298/2080)</f>
        <v/>
      </c>
      <c r="N298" s="50">
        <f>IF(A298="","",B298+C298+D298+E298+I298+J298)</f>
        <v/>
      </c>
      <c r="O298" s="50">
        <f>IF(A298="","",N298*0.25)</f>
        <v/>
      </c>
      <c r="P298" s="50">
        <f>IF(A298="","",N298-O298)</f>
        <v/>
      </c>
      <c r="Q298" s="50">
        <f>IF(A298="","",ROUND(B298*0.4+C298*0.1+D298*0.1+E298*0.1+IF(G298="Yes",5000,0)*0.1+F298*500*0.1+IF(H298="Yes",5000,0)*0.1,0))</f>
        <v/>
      </c>
      <c r="R298" s="46">
        <f>IF(A298="","",ROUND(Q298/1000,1))</f>
        <v/>
      </c>
      <c r="S298" s="46">
        <f>IF(A298="","",RANK(R298,$R$2:$R$500,0))</f>
        <v/>
      </c>
    </row>
    <row r="299" ht="22" customHeight="1">
      <c r="A299" s="48" t="n"/>
      <c r="B299" s="51" t="n"/>
      <c r="C299" s="51" t="n"/>
      <c r="D299" s="51" t="n"/>
      <c r="E299" s="51" t="n"/>
      <c r="F299" s="48" t="n"/>
      <c r="G299" s="48" t="n"/>
      <c r="H299" s="48" t="n"/>
      <c r="I299" s="51" t="n"/>
      <c r="J299" s="51" t="n"/>
      <c r="K299" s="51">
        <f>IF(A299="","",B299+C299)</f>
        <v/>
      </c>
      <c r="L299" s="51">
        <f>IF(A299="","",K299/12)</f>
        <v/>
      </c>
      <c r="M299" s="51">
        <f>IF(A299="","",K299/2080)</f>
        <v/>
      </c>
      <c r="N299" s="51">
        <f>IF(A299="","",B299+C299+D299+E299+I299+J299)</f>
        <v/>
      </c>
      <c r="O299" s="51">
        <f>IF(A299="","",N299*0.25)</f>
        <v/>
      </c>
      <c r="P299" s="51">
        <f>IF(A299="","",N299-O299)</f>
        <v/>
      </c>
      <c r="Q299" s="51">
        <f>IF(A299="","",ROUND(B299*0.4+C299*0.1+D299*0.1+E299*0.1+IF(G299="Yes",5000,0)*0.1+F299*500*0.1+IF(H299="Yes",5000,0)*0.1,0))</f>
        <v/>
      </c>
      <c r="R299" s="48">
        <f>IF(A299="","",ROUND(Q299/1000,1))</f>
        <v/>
      </c>
      <c r="S299" s="48">
        <f>IF(A299="","",RANK(R299,$R$2:$R$500,0))</f>
        <v/>
      </c>
    </row>
    <row r="300" ht="22" customHeight="1">
      <c r="A300" s="46" t="n"/>
      <c r="B300" s="50" t="n"/>
      <c r="C300" s="50" t="n"/>
      <c r="D300" s="50" t="n"/>
      <c r="E300" s="50" t="n"/>
      <c r="F300" s="46" t="n"/>
      <c r="G300" s="46" t="n"/>
      <c r="H300" s="46" t="n"/>
      <c r="I300" s="50" t="n"/>
      <c r="J300" s="50" t="n"/>
      <c r="K300" s="50">
        <f>IF(A300="","",B300+C300)</f>
        <v/>
      </c>
      <c r="L300" s="50">
        <f>IF(A300="","",K300/12)</f>
        <v/>
      </c>
      <c r="M300" s="50">
        <f>IF(A300="","",K300/2080)</f>
        <v/>
      </c>
      <c r="N300" s="50">
        <f>IF(A300="","",B300+C300+D300+E300+I300+J300)</f>
        <v/>
      </c>
      <c r="O300" s="50">
        <f>IF(A300="","",N300*0.25)</f>
        <v/>
      </c>
      <c r="P300" s="50">
        <f>IF(A300="","",N300-O300)</f>
        <v/>
      </c>
      <c r="Q300" s="50">
        <f>IF(A300="","",ROUND(B300*0.4+C300*0.1+D300*0.1+E300*0.1+IF(G300="Yes",5000,0)*0.1+F300*500*0.1+IF(H300="Yes",5000,0)*0.1,0))</f>
        <v/>
      </c>
      <c r="R300" s="46">
        <f>IF(A300="","",ROUND(Q300/1000,1))</f>
        <v/>
      </c>
      <c r="S300" s="46">
        <f>IF(A300="","",RANK(R300,$R$2:$R$500,0))</f>
        <v/>
      </c>
    </row>
    <row r="301" ht="22" customHeight="1">
      <c r="A301" s="48" t="n"/>
      <c r="B301" s="51" t="n"/>
      <c r="C301" s="51" t="n"/>
      <c r="D301" s="51" t="n"/>
      <c r="E301" s="51" t="n"/>
      <c r="F301" s="48" t="n"/>
      <c r="G301" s="48" t="n"/>
      <c r="H301" s="48" t="n"/>
      <c r="I301" s="51" t="n"/>
      <c r="J301" s="51" t="n"/>
      <c r="K301" s="51">
        <f>IF(A301="","",B301+C301)</f>
        <v/>
      </c>
      <c r="L301" s="51">
        <f>IF(A301="","",K301/12)</f>
        <v/>
      </c>
      <c r="M301" s="51">
        <f>IF(A301="","",K301/2080)</f>
        <v/>
      </c>
      <c r="N301" s="51">
        <f>IF(A301="","",B301+C301+D301+E301+I301+J301)</f>
        <v/>
      </c>
      <c r="O301" s="51">
        <f>IF(A301="","",N301*0.25)</f>
        <v/>
      </c>
      <c r="P301" s="51">
        <f>IF(A301="","",N301-O301)</f>
        <v/>
      </c>
      <c r="Q301" s="51">
        <f>IF(A301="","",ROUND(B301*0.4+C301*0.1+D301*0.1+E301*0.1+IF(G301="Yes",5000,0)*0.1+F301*500*0.1+IF(H301="Yes",5000,0)*0.1,0))</f>
        <v/>
      </c>
      <c r="R301" s="48">
        <f>IF(A301="","",ROUND(Q301/1000,1))</f>
        <v/>
      </c>
      <c r="S301" s="48">
        <f>IF(A301="","",RANK(R301,$R$2:$R$500,0))</f>
        <v/>
      </c>
    </row>
    <row r="302" ht="22" customHeight="1">
      <c r="A302" s="46" t="n"/>
      <c r="B302" s="50" t="n"/>
      <c r="C302" s="50" t="n"/>
      <c r="D302" s="50" t="n"/>
      <c r="E302" s="50" t="n"/>
      <c r="F302" s="46" t="n"/>
      <c r="G302" s="46" t="n"/>
      <c r="H302" s="46" t="n"/>
      <c r="I302" s="50" t="n"/>
      <c r="J302" s="50" t="n"/>
      <c r="K302" s="50">
        <f>IF(A302="","",B302+C302)</f>
        <v/>
      </c>
      <c r="L302" s="50">
        <f>IF(A302="","",K302/12)</f>
        <v/>
      </c>
      <c r="M302" s="50">
        <f>IF(A302="","",K302/2080)</f>
        <v/>
      </c>
      <c r="N302" s="50">
        <f>IF(A302="","",B302+C302+D302+E302+I302+J302)</f>
        <v/>
      </c>
      <c r="O302" s="50">
        <f>IF(A302="","",N302*0.25)</f>
        <v/>
      </c>
      <c r="P302" s="50">
        <f>IF(A302="","",N302-O302)</f>
        <v/>
      </c>
      <c r="Q302" s="50">
        <f>IF(A302="","",ROUND(B302*0.4+C302*0.1+D302*0.1+E302*0.1+IF(G302="Yes",5000,0)*0.1+F302*500*0.1+IF(H302="Yes",5000,0)*0.1,0))</f>
        <v/>
      </c>
      <c r="R302" s="46">
        <f>IF(A302="","",ROUND(Q302/1000,1))</f>
        <v/>
      </c>
      <c r="S302" s="46">
        <f>IF(A302="","",RANK(R302,$R$2:$R$500,0))</f>
        <v/>
      </c>
    </row>
    <row r="303" ht="22" customHeight="1">
      <c r="A303" s="48" t="n"/>
      <c r="B303" s="51" t="n"/>
      <c r="C303" s="51" t="n"/>
      <c r="D303" s="51" t="n"/>
      <c r="E303" s="51" t="n"/>
      <c r="F303" s="48" t="n"/>
      <c r="G303" s="48" t="n"/>
      <c r="H303" s="48" t="n"/>
      <c r="I303" s="51" t="n"/>
      <c r="J303" s="51" t="n"/>
      <c r="K303" s="51">
        <f>IF(A303="","",B303+C303)</f>
        <v/>
      </c>
      <c r="L303" s="51">
        <f>IF(A303="","",K303/12)</f>
        <v/>
      </c>
      <c r="M303" s="51">
        <f>IF(A303="","",K303/2080)</f>
        <v/>
      </c>
      <c r="N303" s="51">
        <f>IF(A303="","",B303+C303+D303+E303+I303+J303)</f>
        <v/>
      </c>
      <c r="O303" s="51">
        <f>IF(A303="","",N303*0.25)</f>
        <v/>
      </c>
      <c r="P303" s="51">
        <f>IF(A303="","",N303-O303)</f>
        <v/>
      </c>
      <c r="Q303" s="51">
        <f>IF(A303="","",ROUND(B303*0.4+C303*0.1+D303*0.1+E303*0.1+IF(G303="Yes",5000,0)*0.1+F303*500*0.1+IF(H303="Yes",5000,0)*0.1,0))</f>
        <v/>
      </c>
      <c r="R303" s="48">
        <f>IF(A303="","",ROUND(Q303/1000,1))</f>
        <v/>
      </c>
      <c r="S303" s="48">
        <f>IF(A303="","",RANK(R303,$R$2:$R$500,0))</f>
        <v/>
      </c>
    </row>
    <row r="304" ht="22" customHeight="1">
      <c r="A304" s="46" t="n"/>
      <c r="B304" s="50" t="n"/>
      <c r="C304" s="50" t="n"/>
      <c r="D304" s="50" t="n"/>
      <c r="E304" s="50" t="n"/>
      <c r="F304" s="46" t="n"/>
      <c r="G304" s="46" t="n"/>
      <c r="H304" s="46" t="n"/>
      <c r="I304" s="50" t="n"/>
      <c r="J304" s="50" t="n"/>
      <c r="K304" s="50">
        <f>IF(A304="","",B304+C304)</f>
        <v/>
      </c>
      <c r="L304" s="50">
        <f>IF(A304="","",K304/12)</f>
        <v/>
      </c>
      <c r="M304" s="50">
        <f>IF(A304="","",K304/2080)</f>
        <v/>
      </c>
      <c r="N304" s="50">
        <f>IF(A304="","",B304+C304+D304+E304+I304+J304)</f>
        <v/>
      </c>
      <c r="O304" s="50">
        <f>IF(A304="","",N304*0.25)</f>
        <v/>
      </c>
      <c r="P304" s="50">
        <f>IF(A304="","",N304-O304)</f>
        <v/>
      </c>
      <c r="Q304" s="50">
        <f>IF(A304="","",ROUND(B304*0.4+C304*0.1+D304*0.1+E304*0.1+IF(G304="Yes",5000,0)*0.1+F304*500*0.1+IF(H304="Yes",5000,0)*0.1,0))</f>
        <v/>
      </c>
      <c r="R304" s="46">
        <f>IF(A304="","",ROUND(Q304/1000,1))</f>
        <v/>
      </c>
      <c r="S304" s="46">
        <f>IF(A304="","",RANK(R304,$R$2:$R$500,0))</f>
        <v/>
      </c>
    </row>
    <row r="305" ht="22" customHeight="1">
      <c r="A305" s="48" t="n"/>
      <c r="B305" s="51" t="n"/>
      <c r="C305" s="51" t="n"/>
      <c r="D305" s="51" t="n"/>
      <c r="E305" s="51" t="n"/>
      <c r="F305" s="48" t="n"/>
      <c r="G305" s="48" t="n"/>
      <c r="H305" s="48" t="n"/>
      <c r="I305" s="51" t="n"/>
      <c r="J305" s="51" t="n"/>
      <c r="K305" s="51">
        <f>IF(A305="","",B305+C305)</f>
        <v/>
      </c>
      <c r="L305" s="51">
        <f>IF(A305="","",K305/12)</f>
        <v/>
      </c>
      <c r="M305" s="51">
        <f>IF(A305="","",K305/2080)</f>
        <v/>
      </c>
      <c r="N305" s="51">
        <f>IF(A305="","",B305+C305+D305+E305+I305+J305)</f>
        <v/>
      </c>
      <c r="O305" s="51">
        <f>IF(A305="","",N305*0.25)</f>
        <v/>
      </c>
      <c r="P305" s="51">
        <f>IF(A305="","",N305-O305)</f>
        <v/>
      </c>
      <c r="Q305" s="51">
        <f>IF(A305="","",ROUND(B305*0.4+C305*0.1+D305*0.1+E305*0.1+IF(G305="Yes",5000,0)*0.1+F305*500*0.1+IF(H305="Yes",5000,0)*0.1,0))</f>
        <v/>
      </c>
      <c r="R305" s="48">
        <f>IF(A305="","",ROUND(Q305/1000,1))</f>
        <v/>
      </c>
      <c r="S305" s="48">
        <f>IF(A305="","",RANK(R305,$R$2:$R$500,0))</f>
        <v/>
      </c>
    </row>
    <row r="306" ht="22" customHeight="1">
      <c r="A306" s="46" t="n"/>
      <c r="B306" s="50" t="n"/>
      <c r="C306" s="50" t="n"/>
      <c r="D306" s="50" t="n"/>
      <c r="E306" s="50" t="n"/>
      <c r="F306" s="46" t="n"/>
      <c r="G306" s="46" t="n"/>
      <c r="H306" s="46" t="n"/>
      <c r="I306" s="50" t="n"/>
      <c r="J306" s="50" t="n"/>
      <c r="K306" s="50">
        <f>IF(A306="","",B306+C306)</f>
        <v/>
      </c>
      <c r="L306" s="50">
        <f>IF(A306="","",K306/12)</f>
        <v/>
      </c>
      <c r="M306" s="50">
        <f>IF(A306="","",K306/2080)</f>
        <v/>
      </c>
      <c r="N306" s="50">
        <f>IF(A306="","",B306+C306+D306+E306+I306+J306)</f>
        <v/>
      </c>
      <c r="O306" s="50">
        <f>IF(A306="","",N306*0.25)</f>
        <v/>
      </c>
      <c r="P306" s="50">
        <f>IF(A306="","",N306-O306)</f>
        <v/>
      </c>
      <c r="Q306" s="50">
        <f>IF(A306="","",ROUND(B306*0.4+C306*0.1+D306*0.1+E306*0.1+IF(G306="Yes",5000,0)*0.1+F306*500*0.1+IF(H306="Yes",5000,0)*0.1,0))</f>
        <v/>
      </c>
      <c r="R306" s="46">
        <f>IF(A306="","",ROUND(Q306/1000,1))</f>
        <v/>
      </c>
      <c r="S306" s="46">
        <f>IF(A306="","",RANK(R306,$R$2:$R$500,0))</f>
        <v/>
      </c>
    </row>
    <row r="307" ht="22" customHeight="1">
      <c r="A307" s="48" t="n"/>
      <c r="B307" s="51" t="n"/>
      <c r="C307" s="51" t="n"/>
      <c r="D307" s="51" t="n"/>
      <c r="E307" s="51" t="n"/>
      <c r="F307" s="48" t="n"/>
      <c r="G307" s="48" t="n"/>
      <c r="H307" s="48" t="n"/>
      <c r="I307" s="51" t="n"/>
      <c r="J307" s="51" t="n"/>
      <c r="K307" s="51">
        <f>IF(A307="","",B307+C307)</f>
        <v/>
      </c>
      <c r="L307" s="51">
        <f>IF(A307="","",K307/12)</f>
        <v/>
      </c>
      <c r="M307" s="51">
        <f>IF(A307="","",K307/2080)</f>
        <v/>
      </c>
      <c r="N307" s="51">
        <f>IF(A307="","",B307+C307+D307+E307+I307+J307)</f>
        <v/>
      </c>
      <c r="O307" s="51">
        <f>IF(A307="","",N307*0.25)</f>
        <v/>
      </c>
      <c r="P307" s="51">
        <f>IF(A307="","",N307-O307)</f>
        <v/>
      </c>
      <c r="Q307" s="51">
        <f>IF(A307="","",ROUND(B307*0.4+C307*0.1+D307*0.1+E307*0.1+IF(G307="Yes",5000,0)*0.1+F307*500*0.1+IF(H307="Yes",5000,0)*0.1,0))</f>
        <v/>
      </c>
      <c r="R307" s="48">
        <f>IF(A307="","",ROUND(Q307/1000,1))</f>
        <v/>
      </c>
      <c r="S307" s="48">
        <f>IF(A307="","",RANK(R307,$R$2:$R$500,0))</f>
        <v/>
      </c>
    </row>
    <row r="308" ht="22" customHeight="1">
      <c r="A308" s="46" t="n"/>
      <c r="B308" s="50" t="n"/>
      <c r="C308" s="50" t="n"/>
      <c r="D308" s="50" t="n"/>
      <c r="E308" s="50" t="n"/>
      <c r="F308" s="46" t="n"/>
      <c r="G308" s="46" t="n"/>
      <c r="H308" s="46" t="n"/>
      <c r="I308" s="50" t="n"/>
      <c r="J308" s="50" t="n"/>
      <c r="K308" s="50">
        <f>IF(A308="","",B308+C308)</f>
        <v/>
      </c>
      <c r="L308" s="50">
        <f>IF(A308="","",K308/12)</f>
        <v/>
      </c>
      <c r="M308" s="50">
        <f>IF(A308="","",K308/2080)</f>
        <v/>
      </c>
      <c r="N308" s="50">
        <f>IF(A308="","",B308+C308+D308+E308+I308+J308)</f>
        <v/>
      </c>
      <c r="O308" s="50">
        <f>IF(A308="","",N308*0.25)</f>
        <v/>
      </c>
      <c r="P308" s="50">
        <f>IF(A308="","",N308-O308)</f>
        <v/>
      </c>
      <c r="Q308" s="50">
        <f>IF(A308="","",ROUND(B308*0.4+C308*0.1+D308*0.1+E308*0.1+IF(G308="Yes",5000,0)*0.1+F308*500*0.1+IF(H308="Yes",5000,0)*0.1,0))</f>
        <v/>
      </c>
      <c r="R308" s="46">
        <f>IF(A308="","",ROUND(Q308/1000,1))</f>
        <v/>
      </c>
      <c r="S308" s="46">
        <f>IF(A308="","",RANK(R308,$R$2:$R$500,0))</f>
        <v/>
      </c>
    </row>
    <row r="309" ht="22" customHeight="1">
      <c r="A309" s="48" t="n"/>
      <c r="B309" s="51" t="n"/>
      <c r="C309" s="51" t="n"/>
      <c r="D309" s="51" t="n"/>
      <c r="E309" s="51" t="n"/>
      <c r="F309" s="48" t="n"/>
      <c r="G309" s="48" t="n"/>
      <c r="H309" s="48" t="n"/>
      <c r="I309" s="51" t="n"/>
      <c r="J309" s="51" t="n"/>
      <c r="K309" s="51">
        <f>IF(A309="","",B309+C309)</f>
        <v/>
      </c>
      <c r="L309" s="51">
        <f>IF(A309="","",K309/12)</f>
        <v/>
      </c>
      <c r="M309" s="51">
        <f>IF(A309="","",K309/2080)</f>
        <v/>
      </c>
      <c r="N309" s="51">
        <f>IF(A309="","",B309+C309+D309+E309+I309+J309)</f>
        <v/>
      </c>
      <c r="O309" s="51">
        <f>IF(A309="","",N309*0.25)</f>
        <v/>
      </c>
      <c r="P309" s="51">
        <f>IF(A309="","",N309-O309)</f>
        <v/>
      </c>
      <c r="Q309" s="51">
        <f>IF(A309="","",ROUND(B309*0.4+C309*0.1+D309*0.1+E309*0.1+IF(G309="Yes",5000,0)*0.1+F309*500*0.1+IF(H309="Yes",5000,0)*0.1,0))</f>
        <v/>
      </c>
      <c r="R309" s="48">
        <f>IF(A309="","",ROUND(Q309/1000,1))</f>
        <v/>
      </c>
      <c r="S309" s="48">
        <f>IF(A309="","",RANK(R309,$R$2:$R$500,0))</f>
        <v/>
      </c>
    </row>
    <row r="310" ht="22" customHeight="1">
      <c r="A310" s="46" t="n"/>
      <c r="B310" s="50" t="n"/>
      <c r="C310" s="50" t="n"/>
      <c r="D310" s="50" t="n"/>
      <c r="E310" s="50" t="n"/>
      <c r="F310" s="46" t="n"/>
      <c r="G310" s="46" t="n"/>
      <c r="H310" s="46" t="n"/>
      <c r="I310" s="50" t="n"/>
      <c r="J310" s="50" t="n"/>
      <c r="K310" s="50">
        <f>IF(A310="","",B310+C310)</f>
        <v/>
      </c>
      <c r="L310" s="50">
        <f>IF(A310="","",K310/12)</f>
        <v/>
      </c>
      <c r="M310" s="50">
        <f>IF(A310="","",K310/2080)</f>
        <v/>
      </c>
      <c r="N310" s="50">
        <f>IF(A310="","",B310+C310+D310+E310+I310+J310)</f>
        <v/>
      </c>
      <c r="O310" s="50">
        <f>IF(A310="","",N310*0.25)</f>
        <v/>
      </c>
      <c r="P310" s="50">
        <f>IF(A310="","",N310-O310)</f>
        <v/>
      </c>
      <c r="Q310" s="50">
        <f>IF(A310="","",ROUND(B310*0.4+C310*0.1+D310*0.1+E310*0.1+IF(G310="Yes",5000,0)*0.1+F310*500*0.1+IF(H310="Yes",5000,0)*0.1,0))</f>
        <v/>
      </c>
      <c r="R310" s="46">
        <f>IF(A310="","",ROUND(Q310/1000,1))</f>
        <v/>
      </c>
      <c r="S310" s="46">
        <f>IF(A310="","",RANK(R310,$R$2:$R$500,0))</f>
        <v/>
      </c>
    </row>
    <row r="311" ht="22" customHeight="1">
      <c r="A311" s="48" t="n"/>
      <c r="B311" s="51" t="n"/>
      <c r="C311" s="51" t="n"/>
      <c r="D311" s="51" t="n"/>
      <c r="E311" s="51" t="n"/>
      <c r="F311" s="48" t="n"/>
      <c r="G311" s="48" t="n"/>
      <c r="H311" s="48" t="n"/>
      <c r="I311" s="51" t="n"/>
      <c r="J311" s="51" t="n"/>
      <c r="K311" s="51">
        <f>IF(A311="","",B311+C311)</f>
        <v/>
      </c>
      <c r="L311" s="51">
        <f>IF(A311="","",K311/12)</f>
        <v/>
      </c>
      <c r="M311" s="51">
        <f>IF(A311="","",K311/2080)</f>
        <v/>
      </c>
      <c r="N311" s="51">
        <f>IF(A311="","",B311+C311+D311+E311+I311+J311)</f>
        <v/>
      </c>
      <c r="O311" s="51">
        <f>IF(A311="","",N311*0.25)</f>
        <v/>
      </c>
      <c r="P311" s="51">
        <f>IF(A311="","",N311-O311)</f>
        <v/>
      </c>
      <c r="Q311" s="51">
        <f>IF(A311="","",ROUND(B311*0.4+C311*0.1+D311*0.1+E311*0.1+IF(G311="Yes",5000,0)*0.1+F311*500*0.1+IF(H311="Yes",5000,0)*0.1,0))</f>
        <v/>
      </c>
      <c r="R311" s="48">
        <f>IF(A311="","",ROUND(Q311/1000,1))</f>
        <v/>
      </c>
      <c r="S311" s="48">
        <f>IF(A311="","",RANK(R311,$R$2:$R$500,0))</f>
        <v/>
      </c>
    </row>
    <row r="312" ht="22" customHeight="1">
      <c r="A312" s="46" t="n"/>
      <c r="B312" s="50" t="n"/>
      <c r="C312" s="50" t="n"/>
      <c r="D312" s="50" t="n"/>
      <c r="E312" s="50" t="n"/>
      <c r="F312" s="46" t="n"/>
      <c r="G312" s="46" t="n"/>
      <c r="H312" s="46" t="n"/>
      <c r="I312" s="50" t="n"/>
      <c r="J312" s="50" t="n"/>
      <c r="K312" s="50">
        <f>IF(A312="","",B312+C312)</f>
        <v/>
      </c>
      <c r="L312" s="50">
        <f>IF(A312="","",K312/12)</f>
        <v/>
      </c>
      <c r="M312" s="50">
        <f>IF(A312="","",K312/2080)</f>
        <v/>
      </c>
      <c r="N312" s="50">
        <f>IF(A312="","",B312+C312+D312+E312+I312+J312)</f>
        <v/>
      </c>
      <c r="O312" s="50">
        <f>IF(A312="","",N312*0.25)</f>
        <v/>
      </c>
      <c r="P312" s="50">
        <f>IF(A312="","",N312-O312)</f>
        <v/>
      </c>
      <c r="Q312" s="50">
        <f>IF(A312="","",ROUND(B312*0.4+C312*0.1+D312*0.1+E312*0.1+IF(G312="Yes",5000,0)*0.1+F312*500*0.1+IF(H312="Yes",5000,0)*0.1,0))</f>
        <v/>
      </c>
      <c r="R312" s="46">
        <f>IF(A312="","",ROUND(Q312/1000,1))</f>
        <v/>
      </c>
      <c r="S312" s="46">
        <f>IF(A312="","",RANK(R312,$R$2:$R$500,0))</f>
        <v/>
      </c>
    </row>
    <row r="313" ht="22" customHeight="1">
      <c r="A313" s="48" t="n"/>
      <c r="B313" s="51" t="n"/>
      <c r="C313" s="51" t="n"/>
      <c r="D313" s="51" t="n"/>
      <c r="E313" s="51" t="n"/>
      <c r="F313" s="48" t="n"/>
      <c r="G313" s="48" t="n"/>
      <c r="H313" s="48" t="n"/>
      <c r="I313" s="51" t="n"/>
      <c r="J313" s="51" t="n"/>
      <c r="K313" s="51">
        <f>IF(A313="","",B313+C313)</f>
        <v/>
      </c>
      <c r="L313" s="51">
        <f>IF(A313="","",K313/12)</f>
        <v/>
      </c>
      <c r="M313" s="51">
        <f>IF(A313="","",K313/2080)</f>
        <v/>
      </c>
      <c r="N313" s="51">
        <f>IF(A313="","",B313+C313+D313+E313+I313+J313)</f>
        <v/>
      </c>
      <c r="O313" s="51">
        <f>IF(A313="","",N313*0.25)</f>
        <v/>
      </c>
      <c r="P313" s="51">
        <f>IF(A313="","",N313-O313)</f>
        <v/>
      </c>
      <c r="Q313" s="51">
        <f>IF(A313="","",ROUND(B313*0.4+C313*0.1+D313*0.1+E313*0.1+IF(G313="Yes",5000,0)*0.1+F313*500*0.1+IF(H313="Yes",5000,0)*0.1,0))</f>
        <v/>
      </c>
      <c r="R313" s="48">
        <f>IF(A313="","",ROUND(Q313/1000,1))</f>
        <v/>
      </c>
      <c r="S313" s="48">
        <f>IF(A313="","",RANK(R313,$R$2:$R$500,0))</f>
        <v/>
      </c>
    </row>
    <row r="314" ht="22" customHeight="1">
      <c r="A314" s="46" t="n"/>
      <c r="B314" s="50" t="n"/>
      <c r="C314" s="50" t="n"/>
      <c r="D314" s="50" t="n"/>
      <c r="E314" s="50" t="n"/>
      <c r="F314" s="46" t="n"/>
      <c r="G314" s="46" t="n"/>
      <c r="H314" s="46" t="n"/>
      <c r="I314" s="50" t="n"/>
      <c r="J314" s="50" t="n"/>
      <c r="K314" s="50">
        <f>IF(A314="","",B314+C314)</f>
        <v/>
      </c>
      <c r="L314" s="50">
        <f>IF(A314="","",K314/12)</f>
        <v/>
      </c>
      <c r="M314" s="50">
        <f>IF(A314="","",K314/2080)</f>
        <v/>
      </c>
      <c r="N314" s="50">
        <f>IF(A314="","",B314+C314+D314+E314+I314+J314)</f>
        <v/>
      </c>
      <c r="O314" s="50">
        <f>IF(A314="","",N314*0.25)</f>
        <v/>
      </c>
      <c r="P314" s="50">
        <f>IF(A314="","",N314-O314)</f>
        <v/>
      </c>
      <c r="Q314" s="50">
        <f>IF(A314="","",ROUND(B314*0.4+C314*0.1+D314*0.1+E314*0.1+IF(G314="Yes",5000,0)*0.1+F314*500*0.1+IF(H314="Yes",5000,0)*0.1,0))</f>
        <v/>
      </c>
      <c r="R314" s="46">
        <f>IF(A314="","",ROUND(Q314/1000,1))</f>
        <v/>
      </c>
      <c r="S314" s="46">
        <f>IF(A314="","",RANK(R314,$R$2:$R$500,0))</f>
        <v/>
      </c>
    </row>
    <row r="315" ht="22" customHeight="1">
      <c r="A315" s="48" t="n"/>
      <c r="B315" s="51" t="n"/>
      <c r="C315" s="51" t="n"/>
      <c r="D315" s="51" t="n"/>
      <c r="E315" s="51" t="n"/>
      <c r="F315" s="48" t="n"/>
      <c r="G315" s="48" t="n"/>
      <c r="H315" s="48" t="n"/>
      <c r="I315" s="51" t="n"/>
      <c r="J315" s="51" t="n"/>
      <c r="K315" s="51">
        <f>IF(A315="","",B315+C315)</f>
        <v/>
      </c>
      <c r="L315" s="51">
        <f>IF(A315="","",K315/12)</f>
        <v/>
      </c>
      <c r="M315" s="51">
        <f>IF(A315="","",K315/2080)</f>
        <v/>
      </c>
      <c r="N315" s="51">
        <f>IF(A315="","",B315+C315+D315+E315+I315+J315)</f>
        <v/>
      </c>
      <c r="O315" s="51">
        <f>IF(A315="","",N315*0.25)</f>
        <v/>
      </c>
      <c r="P315" s="51">
        <f>IF(A315="","",N315-O315)</f>
        <v/>
      </c>
      <c r="Q315" s="51">
        <f>IF(A315="","",ROUND(B315*0.4+C315*0.1+D315*0.1+E315*0.1+IF(G315="Yes",5000,0)*0.1+F315*500*0.1+IF(H315="Yes",5000,0)*0.1,0))</f>
        <v/>
      </c>
      <c r="R315" s="48">
        <f>IF(A315="","",ROUND(Q315/1000,1))</f>
        <v/>
      </c>
      <c r="S315" s="48">
        <f>IF(A315="","",RANK(R315,$R$2:$R$500,0))</f>
        <v/>
      </c>
    </row>
    <row r="316" ht="22" customHeight="1">
      <c r="A316" s="46" t="n"/>
      <c r="B316" s="50" t="n"/>
      <c r="C316" s="50" t="n"/>
      <c r="D316" s="50" t="n"/>
      <c r="E316" s="50" t="n"/>
      <c r="F316" s="46" t="n"/>
      <c r="G316" s="46" t="n"/>
      <c r="H316" s="46" t="n"/>
      <c r="I316" s="50" t="n"/>
      <c r="J316" s="50" t="n"/>
      <c r="K316" s="50">
        <f>IF(A316="","",B316+C316)</f>
        <v/>
      </c>
      <c r="L316" s="50">
        <f>IF(A316="","",K316/12)</f>
        <v/>
      </c>
      <c r="M316" s="50">
        <f>IF(A316="","",K316/2080)</f>
        <v/>
      </c>
      <c r="N316" s="50">
        <f>IF(A316="","",B316+C316+D316+E316+I316+J316)</f>
        <v/>
      </c>
      <c r="O316" s="50">
        <f>IF(A316="","",N316*0.25)</f>
        <v/>
      </c>
      <c r="P316" s="50">
        <f>IF(A316="","",N316-O316)</f>
        <v/>
      </c>
      <c r="Q316" s="50">
        <f>IF(A316="","",ROUND(B316*0.4+C316*0.1+D316*0.1+E316*0.1+IF(G316="Yes",5000,0)*0.1+F316*500*0.1+IF(H316="Yes",5000,0)*0.1,0))</f>
        <v/>
      </c>
      <c r="R316" s="46">
        <f>IF(A316="","",ROUND(Q316/1000,1))</f>
        <v/>
      </c>
      <c r="S316" s="46">
        <f>IF(A316="","",RANK(R316,$R$2:$R$500,0))</f>
        <v/>
      </c>
    </row>
    <row r="317" ht="22" customHeight="1">
      <c r="A317" s="48" t="n"/>
      <c r="B317" s="51" t="n"/>
      <c r="C317" s="51" t="n"/>
      <c r="D317" s="51" t="n"/>
      <c r="E317" s="51" t="n"/>
      <c r="F317" s="48" t="n"/>
      <c r="G317" s="48" t="n"/>
      <c r="H317" s="48" t="n"/>
      <c r="I317" s="51" t="n"/>
      <c r="J317" s="51" t="n"/>
      <c r="K317" s="51">
        <f>IF(A317="","",B317+C317)</f>
        <v/>
      </c>
      <c r="L317" s="51">
        <f>IF(A317="","",K317/12)</f>
        <v/>
      </c>
      <c r="M317" s="51">
        <f>IF(A317="","",K317/2080)</f>
        <v/>
      </c>
      <c r="N317" s="51">
        <f>IF(A317="","",B317+C317+D317+E317+I317+J317)</f>
        <v/>
      </c>
      <c r="O317" s="51">
        <f>IF(A317="","",N317*0.25)</f>
        <v/>
      </c>
      <c r="P317" s="51">
        <f>IF(A317="","",N317-O317)</f>
        <v/>
      </c>
      <c r="Q317" s="51">
        <f>IF(A317="","",ROUND(B317*0.4+C317*0.1+D317*0.1+E317*0.1+IF(G317="Yes",5000,0)*0.1+F317*500*0.1+IF(H317="Yes",5000,0)*0.1,0))</f>
        <v/>
      </c>
      <c r="R317" s="48">
        <f>IF(A317="","",ROUND(Q317/1000,1))</f>
        <v/>
      </c>
      <c r="S317" s="48">
        <f>IF(A317="","",RANK(R317,$R$2:$R$500,0))</f>
        <v/>
      </c>
    </row>
    <row r="318" ht="22" customHeight="1">
      <c r="A318" s="46" t="n"/>
      <c r="B318" s="50" t="n"/>
      <c r="C318" s="50" t="n"/>
      <c r="D318" s="50" t="n"/>
      <c r="E318" s="50" t="n"/>
      <c r="F318" s="46" t="n"/>
      <c r="G318" s="46" t="n"/>
      <c r="H318" s="46" t="n"/>
      <c r="I318" s="50" t="n"/>
      <c r="J318" s="50" t="n"/>
      <c r="K318" s="50">
        <f>IF(A318="","",B318+C318)</f>
        <v/>
      </c>
      <c r="L318" s="50">
        <f>IF(A318="","",K318/12)</f>
        <v/>
      </c>
      <c r="M318" s="50">
        <f>IF(A318="","",K318/2080)</f>
        <v/>
      </c>
      <c r="N318" s="50">
        <f>IF(A318="","",B318+C318+D318+E318+I318+J318)</f>
        <v/>
      </c>
      <c r="O318" s="50">
        <f>IF(A318="","",N318*0.25)</f>
        <v/>
      </c>
      <c r="P318" s="50">
        <f>IF(A318="","",N318-O318)</f>
        <v/>
      </c>
      <c r="Q318" s="50">
        <f>IF(A318="","",ROUND(B318*0.4+C318*0.1+D318*0.1+E318*0.1+IF(G318="Yes",5000,0)*0.1+F318*500*0.1+IF(H318="Yes",5000,0)*0.1,0))</f>
        <v/>
      </c>
      <c r="R318" s="46">
        <f>IF(A318="","",ROUND(Q318/1000,1))</f>
        <v/>
      </c>
      <c r="S318" s="46">
        <f>IF(A318="","",RANK(R318,$R$2:$R$500,0))</f>
        <v/>
      </c>
    </row>
    <row r="319" ht="22" customHeight="1">
      <c r="A319" s="48" t="n"/>
      <c r="B319" s="51" t="n"/>
      <c r="C319" s="51" t="n"/>
      <c r="D319" s="51" t="n"/>
      <c r="E319" s="51" t="n"/>
      <c r="F319" s="48" t="n"/>
      <c r="G319" s="48" t="n"/>
      <c r="H319" s="48" t="n"/>
      <c r="I319" s="51" t="n"/>
      <c r="J319" s="51" t="n"/>
      <c r="K319" s="51">
        <f>IF(A319="","",B319+C319)</f>
        <v/>
      </c>
      <c r="L319" s="51">
        <f>IF(A319="","",K319/12)</f>
        <v/>
      </c>
      <c r="M319" s="51">
        <f>IF(A319="","",K319/2080)</f>
        <v/>
      </c>
      <c r="N319" s="51">
        <f>IF(A319="","",B319+C319+D319+E319+I319+J319)</f>
        <v/>
      </c>
      <c r="O319" s="51">
        <f>IF(A319="","",N319*0.25)</f>
        <v/>
      </c>
      <c r="P319" s="51">
        <f>IF(A319="","",N319-O319)</f>
        <v/>
      </c>
      <c r="Q319" s="51">
        <f>IF(A319="","",ROUND(B319*0.4+C319*0.1+D319*0.1+E319*0.1+IF(G319="Yes",5000,0)*0.1+F319*500*0.1+IF(H319="Yes",5000,0)*0.1,0))</f>
        <v/>
      </c>
      <c r="R319" s="48">
        <f>IF(A319="","",ROUND(Q319/1000,1))</f>
        <v/>
      </c>
      <c r="S319" s="48">
        <f>IF(A319="","",RANK(R319,$R$2:$R$500,0))</f>
        <v/>
      </c>
    </row>
    <row r="320" ht="22" customHeight="1">
      <c r="A320" s="46" t="n"/>
      <c r="B320" s="50" t="n"/>
      <c r="C320" s="50" t="n"/>
      <c r="D320" s="50" t="n"/>
      <c r="E320" s="50" t="n"/>
      <c r="F320" s="46" t="n"/>
      <c r="G320" s="46" t="n"/>
      <c r="H320" s="46" t="n"/>
      <c r="I320" s="50" t="n"/>
      <c r="J320" s="50" t="n"/>
      <c r="K320" s="50">
        <f>IF(A320="","",B320+C320)</f>
        <v/>
      </c>
      <c r="L320" s="50">
        <f>IF(A320="","",K320/12)</f>
        <v/>
      </c>
      <c r="M320" s="50">
        <f>IF(A320="","",K320/2080)</f>
        <v/>
      </c>
      <c r="N320" s="50">
        <f>IF(A320="","",B320+C320+D320+E320+I320+J320)</f>
        <v/>
      </c>
      <c r="O320" s="50">
        <f>IF(A320="","",N320*0.25)</f>
        <v/>
      </c>
      <c r="P320" s="50">
        <f>IF(A320="","",N320-O320)</f>
        <v/>
      </c>
      <c r="Q320" s="50">
        <f>IF(A320="","",ROUND(B320*0.4+C320*0.1+D320*0.1+E320*0.1+IF(G320="Yes",5000,0)*0.1+F320*500*0.1+IF(H320="Yes",5000,0)*0.1,0))</f>
        <v/>
      </c>
      <c r="R320" s="46">
        <f>IF(A320="","",ROUND(Q320/1000,1))</f>
        <v/>
      </c>
      <c r="S320" s="46">
        <f>IF(A320="","",RANK(R320,$R$2:$R$500,0))</f>
        <v/>
      </c>
    </row>
    <row r="321" ht="22" customHeight="1">
      <c r="A321" s="48" t="n"/>
      <c r="B321" s="51" t="n"/>
      <c r="C321" s="51" t="n"/>
      <c r="D321" s="51" t="n"/>
      <c r="E321" s="51" t="n"/>
      <c r="F321" s="48" t="n"/>
      <c r="G321" s="48" t="n"/>
      <c r="H321" s="48" t="n"/>
      <c r="I321" s="51" t="n"/>
      <c r="J321" s="51" t="n"/>
      <c r="K321" s="51">
        <f>IF(A321="","",B321+C321)</f>
        <v/>
      </c>
      <c r="L321" s="51">
        <f>IF(A321="","",K321/12)</f>
        <v/>
      </c>
      <c r="M321" s="51">
        <f>IF(A321="","",K321/2080)</f>
        <v/>
      </c>
      <c r="N321" s="51">
        <f>IF(A321="","",B321+C321+D321+E321+I321+J321)</f>
        <v/>
      </c>
      <c r="O321" s="51">
        <f>IF(A321="","",N321*0.25)</f>
        <v/>
      </c>
      <c r="P321" s="51">
        <f>IF(A321="","",N321-O321)</f>
        <v/>
      </c>
      <c r="Q321" s="51">
        <f>IF(A321="","",ROUND(B321*0.4+C321*0.1+D321*0.1+E321*0.1+IF(G321="Yes",5000,0)*0.1+F321*500*0.1+IF(H321="Yes",5000,0)*0.1,0))</f>
        <v/>
      </c>
      <c r="R321" s="48">
        <f>IF(A321="","",ROUND(Q321/1000,1))</f>
        <v/>
      </c>
      <c r="S321" s="48">
        <f>IF(A321="","",RANK(R321,$R$2:$R$500,0))</f>
        <v/>
      </c>
    </row>
    <row r="322" ht="22" customHeight="1">
      <c r="A322" s="46" t="n"/>
      <c r="B322" s="50" t="n"/>
      <c r="C322" s="50" t="n"/>
      <c r="D322" s="50" t="n"/>
      <c r="E322" s="50" t="n"/>
      <c r="F322" s="46" t="n"/>
      <c r="G322" s="46" t="n"/>
      <c r="H322" s="46" t="n"/>
      <c r="I322" s="50" t="n"/>
      <c r="J322" s="50" t="n"/>
      <c r="K322" s="50">
        <f>IF(A322="","",B322+C322)</f>
        <v/>
      </c>
      <c r="L322" s="50">
        <f>IF(A322="","",K322/12)</f>
        <v/>
      </c>
      <c r="M322" s="50">
        <f>IF(A322="","",K322/2080)</f>
        <v/>
      </c>
      <c r="N322" s="50">
        <f>IF(A322="","",B322+C322+D322+E322+I322+J322)</f>
        <v/>
      </c>
      <c r="O322" s="50">
        <f>IF(A322="","",N322*0.25)</f>
        <v/>
      </c>
      <c r="P322" s="50">
        <f>IF(A322="","",N322-O322)</f>
        <v/>
      </c>
      <c r="Q322" s="50">
        <f>IF(A322="","",ROUND(B322*0.4+C322*0.1+D322*0.1+E322*0.1+IF(G322="Yes",5000,0)*0.1+F322*500*0.1+IF(H322="Yes",5000,0)*0.1,0))</f>
        <v/>
      </c>
      <c r="R322" s="46">
        <f>IF(A322="","",ROUND(Q322/1000,1))</f>
        <v/>
      </c>
      <c r="S322" s="46">
        <f>IF(A322="","",RANK(R322,$R$2:$R$500,0))</f>
        <v/>
      </c>
    </row>
    <row r="323" ht="22" customHeight="1">
      <c r="A323" s="48" t="n"/>
      <c r="B323" s="51" t="n"/>
      <c r="C323" s="51" t="n"/>
      <c r="D323" s="51" t="n"/>
      <c r="E323" s="51" t="n"/>
      <c r="F323" s="48" t="n"/>
      <c r="G323" s="48" t="n"/>
      <c r="H323" s="48" t="n"/>
      <c r="I323" s="51" t="n"/>
      <c r="J323" s="51" t="n"/>
      <c r="K323" s="51">
        <f>IF(A323="","",B323+C323)</f>
        <v/>
      </c>
      <c r="L323" s="51">
        <f>IF(A323="","",K323/12)</f>
        <v/>
      </c>
      <c r="M323" s="51">
        <f>IF(A323="","",K323/2080)</f>
        <v/>
      </c>
      <c r="N323" s="51">
        <f>IF(A323="","",B323+C323+D323+E323+I323+J323)</f>
        <v/>
      </c>
      <c r="O323" s="51">
        <f>IF(A323="","",N323*0.25)</f>
        <v/>
      </c>
      <c r="P323" s="51">
        <f>IF(A323="","",N323-O323)</f>
        <v/>
      </c>
      <c r="Q323" s="51">
        <f>IF(A323="","",ROUND(B323*0.4+C323*0.1+D323*0.1+E323*0.1+IF(G323="Yes",5000,0)*0.1+F323*500*0.1+IF(H323="Yes",5000,0)*0.1,0))</f>
        <v/>
      </c>
      <c r="R323" s="48">
        <f>IF(A323="","",ROUND(Q323/1000,1))</f>
        <v/>
      </c>
      <c r="S323" s="48">
        <f>IF(A323="","",RANK(R323,$R$2:$R$500,0))</f>
        <v/>
      </c>
    </row>
    <row r="324" ht="22" customHeight="1">
      <c r="A324" s="46" t="n"/>
      <c r="B324" s="50" t="n"/>
      <c r="C324" s="50" t="n"/>
      <c r="D324" s="50" t="n"/>
      <c r="E324" s="50" t="n"/>
      <c r="F324" s="46" t="n"/>
      <c r="G324" s="46" t="n"/>
      <c r="H324" s="46" t="n"/>
      <c r="I324" s="50" t="n"/>
      <c r="J324" s="50" t="n"/>
      <c r="K324" s="50">
        <f>IF(A324="","",B324+C324)</f>
        <v/>
      </c>
      <c r="L324" s="50">
        <f>IF(A324="","",K324/12)</f>
        <v/>
      </c>
      <c r="M324" s="50">
        <f>IF(A324="","",K324/2080)</f>
        <v/>
      </c>
      <c r="N324" s="50">
        <f>IF(A324="","",B324+C324+D324+E324+I324+J324)</f>
        <v/>
      </c>
      <c r="O324" s="50">
        <f>IF(A324="","",N324*0.25)</f>
        <v/>
      </c>
      <c r="P324" s="50">
        <f>IF(A324="","",N324-O324)</f>
        <v/>
      </c>
      <c r="Q324" s="50">
        <f>IF(A324="","",ROUND(B324*0.4+C324*0.1+D324*0.1+E324*0.1+IF(G324="Yes",5000,0)*0.1+F324*500*0.1+IF(H324="Yes",5000,0)*0.1,0))</f>
        <v/>
      </c>
      <c r="R324" s="46">
        <f>IF(A324="","",ROUND(Q324/1000,1))</f>
        <v/>
      </c>
      <c r="S324" s="46">
        <f>IF(A324="","",RANK(R324,$R$2:$R$500,0))</f>
        <v/>
      </c>
    </row>
    <row r="325" ht="22" customHeight="1">
      <c r="A325" s="48" t="n"/>
      <c r="B325" s="51" t="n"/>
      <c r="C325" s="51" t="n"/>
      <c r="D325" s="51" t="n"/>
      <c r="E325" s="51" t="n"/>
      <c r="F325" s="48" t="n"/>
      <c r="G325" s="48" t="n"/>
      <c r="H325" s="48" t="n"/>
      <c r="I325" s="51" t="n"/>
      <c r="J325" s="51" t="n"/>
      <c r="K325" s="51">
        <f>IF(A325="","",B325+C325)</f>
        <v/>
      </c>
      <c r="L325" s="51">
        <f>IF(A325="","",K325/12)</f>
        <v/>
      </c>
      <c r="M325" s="51">
        <f>IF(A325="","",K325/2080)</f>
        <v/>
      </c>
      <c r="N325" s="51">
        <f>IF(A325="","",B325+C325+D325+E325+I325+J325)</f>
        <v/>
      </c>
      <c r="O325" s="51">
        <f>IF(A325="","",N325*0.25)</f>
        <v/>
      </c>
      <c r="P325" s="51">
        <f>IF(A325="","",N325-O325)</f>
        <v/>
      </c>
      <c r="Q325" s="51">
        <f>IF(A325="","",ROUND(B325*0.4+C325*0.1+D325*0.1+E325*0.1+IF(G325="Yes",5000,0)*0.1+F325*500*0.1+IF(H325="Yes",5000,0)*0.1,0))</f>
        <v/>
      </c>
      <c r="R325" s="48">
        <f>IF(A325="","",ROUND(Q325/1000,1))</f>
        <v/>
      </c>
      <c r="S325" s="48">
        <f>IF(A325="","",RANK(R325,$R$2:$R$500,0))</f>
        <v/>
      </c>
    </row>
    <row r="326" ht="22" customHeight="1">
      <c r="A326" s="46" t="n"/>
      <c r="B326" s="50" t="n"/>
      <c r="C326" s="50" t="n"/>
      <c r="D326" s="50" t="n"/>
      <c r="E326" s="50" t="n"/>
      <c r="F326" s="46" t="n"/>
      <c r="G326" s="46" t="n"/>
      <c r="H326" s="46" t="n"/>
      <c r="I326" s="50" t="n"/>
      <c r="J326" s="50" t="n"/>
      <c r="K326" s="50">
        <f>IF(A326="","",B326+C326)</f>
        <v/>
      </c>
      <c r="L326" s="50">
        <f>IF(A326="","",K326/12)</f>
        <v/>
      </c>
      <c r="M326" s="50">
        <f>IF(A326="","",K326/2080)</f>
        <v/>
      </c>
      <c r="N326" s="50">
        <f>IF(A326="","",B326+C326+D326+E326+I326+J326)</f>
        <v/>
      </c>
      <c r="O326" s="50">
        <f>IF(A326="","",N326*0.25)</f>
        <v/>
      </c>
      <c r="P326" s="50">
        <f>IF(A326="","",N326-O326)</f>
        <v/>
      </c>
      <c r="Q326" s="50">
        <f>IF(A326="","",ROUND(B326*0.4+C326*0.1+D326*0.1+E326*0.1+IF(G326="Yes",5000,0)*0.1+F326*500*0.1+IF(H326="Yes",5000,0)*0.1,0))</f>
        <v/>
      </c>
      <c r="R326" s="46">
        <f>IF(A326="","",ROUND(Q326/1000,1))</f>
        <v/>
      </c>
      <c r="S326" s="46">
        <f>IF(A326="","",RANK(R326,$R$2:$R$500,0))</f>
        <v/>
      </c>
    </row>
    <row r="327" ht="22" customHeight="1">
      <c r="A327" s="48" t="n"/>
      <c r="B327" s="51" t="n"/>
      <c r="C327" s="51" t="n"/>
      <c r="D327" s="51" t="n"/>
      <c r="E327" s="51" t="n"/>
      <c r="F327" s="48" t="n"/>
      <c r="G327" s="48" t="n"/>
      <c r="H327" s="48" t="n"/>
      <c r="I327" s="51" t="n"/>
      <c r="J327" s="51" t="n"/>
      <c r="K327" s="51">
        <f>IF(A327="","",B327+C327)</f>
        <v/>
      </c>
      <c r="L327" s="51">
        <f>IF(A327="","",K327/12)</f>
        <v/>
      </c>
      <c r="M327" s="51">
        <f>IF(A327="","",K327/2080)</f>
        <v/>
      </c>
      <c r="N327" s="51">
        <f>IF(A327="","",B327+C327+D327+E327+I327+J327)</f>
        <v/>
      </c>
      <c r="O327" s="51">
        <f>IF(A327="","",N327*0.25)</f>
        <v/>
      </c>
      <c r="P327" s="51">
        <f>IF(A327="","",N327-O327)</f>
        <v/>
      </c>
      <c r="Q327" s="51">
        <f>IF(A327="","",ROUND(B327*0.4+C327*0.1+D327*0.1+E327*0.1+IF(G327="Yes",5000,0)*0.1+F327*500*0.1+IF(H327="Yes",5000,0)*0.1,0))</f>
        <v/>
      </c>
      <c r="R327" s="48">
        <f>IF(A327="","",ROUND(Q327/1000,1))</f>
        <v/>
      </c>
      <c r="S327" s="48">
        <f>IF(A327="","",RANK(R327,$R$2:$R$500,0))</f>
        <v/>
      </c>
    </row>
    <row r="328" ht="22" customHeight="1">
      <c r="A328" s="46" t="n"/>
      <c r="B328" s="50" t="n"/>
      <c r="C328" s="50" t="n"/>
      <c r="D328" s="50" t="n"/>
      <c r="E328" s="50" t="n"/>
      <c r="F328" s="46" t="n"/>
      <c r="G328" s="46" t="n"/>
      <c r="H328" s="46" t="n"/>
      <c r="I328" s="50" t="n"/>
      <c r="J328" s="50" t="n"/>
      <c r="K328" s="50">
        <f>IF(A328="","",B328+C328)</f>
        <v/>
      </c>
      <c r="L328" s="50">
        <f>IF(A328="","",K328/12)</f>
        <v/>
      </c>
      <c r="M328" s="50">
        <f>IF(A328="","",K328/2080)</f>
        <v/>
      </c>
      <c r="N328" s="50">
        <f>IF(A328="","",B328+C328+D328+E328+I328+J328)</f>
        <v/>
      </c>
      <c r="O328" s="50">
        <f>IF(A328="","",N328*0.25)</f>
        <v/>
      </c>
      <c r="P328" s="50">
        <f>IF(A328="","",N328-O328)</f>
        <v/>
      </c>
      <c r="Q328" s="50">
        <f>IF(A328="","",ROUND(B328*0.4+C328*0.1+D328*0.1+E328*0.1+IF(G328="Yes",5000,0)*0.1+F328*500*0.1+IF(H328="Yes",5000,0)*0.1,0))</f>
        <v/>
      </c>
      <c r="R328" s="46">
        <f>IF(A328="","",ROUND(Q328/1000,1))</f>
        <v/>
      </c>
      <c r="S328" s="46">
        <f>IF(A328="","",RANK(R328,$R$2:$R$500,0))</f>
        <v/>
      </c>
    </row>
    <row r="329" ht="22" customHeight="1">
      <c r="A329" s="48" t="n"/>
      <c r="B329" s="51" t="n"/>
      <c r="C329" s="51" t="n"/>
      <c r="D329" s="51" t="n"/>
      <c r="E329" s="51" t="n"/>
      <c r="F329" s="48" t="n"/>
      <c r="G329" s="48" t="n"/>
      <c r="H329" s="48" t="n"/>
      <c r="I329" s="51" t="n"/>
      <c r="J329" s="51" t="n"/>
      <c r="K329" s="51">
        <f>IF(A329="","",B329+C329)</f>
        <v/>
      </c>
      <c r="L329" s="51">
        <f>IF(A329="","",K329/12)</f>
        <v/>
      </c>
      <c r="M329" s="51">
        <f>IF(A329="","",K329/2080)</f>
        <v/>
      </c>
      <c r="N329" s="51">
        <f>IF(A329="","",B329+C329+D329+E329+I329+J329)</f>
        <v/>
      </c>
      <c r="O329" s="51">
        <f>IF(A329="","",N329*0.25)</f>
        <v/>
      </c>
      <c r="P329" s="51">
        <f>IF(A329="","",N329-O329)</f>
        <v/>
      </c>
      <c r="Q329" s="51">
        <f>IF(A329="","",ROUND(B329*0.4+C329*0.1+D329*0.1+E329*0.1+IF(G329="Yes",5000,0)*0.1+F329*500*0.1+IF(H329="Yes",5000,0)*0.1,0))</f>
        <v/>
      </c>
      <c r="R329" s="48">
        <f>IF(A329="","",ROUND(Q329/1000,1))</f>
        <v/>
      </c>
      <c r="S329" s="48">
        <f>IF(A329="","",RANK(R329,$R$2:$R$500,0))</f>
        <v/>
      </c>
    </row>
    <row r="330" ht="22" customHeight="1">
      <c r="A330" s="46" t="n"/>
      <c r="B330" s="50" t="n"/>
      <c r="C330" s="50" t="n"/>
      <c r="D330" s="50" t="n"/>
      <c r="E330" s="50" t="n"/>
      <c r="F330" s="46" t="n"/>
      <c r="G330" s="46" t="n"/>
      <c r="H330" s="46" t="n"/>
      <c r="I330" s="50" t="n"/>
      <c r="J330" s="50" t="n"/>
      <c r="K330" s="50">
        <f>IF(A330="","",B330+C330)</f>
        <v/>
      </c>
      <c r="L330" s="50">
        <f>IF(A330="","",K330/12)</f>
        <v/>
      </c>
      <c r="M330" s="50">
        <f>IF(A330="","",K330/2080)</f>
        <v/>
      </c>
      <c r="N330" s="50">
        <f>IF(A330="","",B330+C330+D330+E330+I330+J330)</f>
        <v/>
      </c>
      <c r="O330" s="50">
        <f>IF(A330="","",N330*0.25)</f>
        <v/>
      </c>
      <c r="P330" s="50">
        <f>IF(A330="","",N330-O330)</f>
        <v/>
      </c>
      <c r="Q330" s="50">
        <f>IF(A330="","",ROUND(B330*0.4+C330*0.1+D330*0.1+E330*0.1+IF(G330="Yes",5000,0)*0.1+F330*500*0.1+IF(H330="Yes",5000,0)*0.1,0))</f>
        <v/>
      </c>
      <c r="R330" s="46">
        <f>IF(A330="","",ROUND(Q330/1000,1))</f>
        <v/>
      </c>
      <c r="S330" s="46">
        <f>IF(A330="","",RANK(R330,$R$2:$R$500,0))</f>
        <v/>
      </c>
    </row>
    <row r="331" ht="22" customHeight="1">
      <c r="A331" s="48" t="n"/>
      <c r="B331" s="51" t="n"/>
      <c r="C331" s="51" t="n"/>
      <c r="D331" s="51" t="n"/>
      <c r="E331" s="51" t="n"/>
      <c r="F331" s="48" t="n"/>
      <c r="G331" s="48" t="n"/>
      <c r="H331" s="48" t="n"/>
      <c r="I331" s="51" t="n"/>
      <c r="J331" s="51" t="n"/>
      <c r="K331" s="51">
        <f>IF(A331="","",B331+C331)</f>
        <v/>
      </c>
      <c r="L331" s="51">
        <f>IF(A331="","",K331/12)</f>
        <v/>
      </c>
      <c r="M331" s="51">
        <f>IF(A331="","",K331/2080)</f>
        <v/>
      </c>
      <c r="N331" s="51">
        <f>IF(A331="","",B331+C331+D331+E331+I331+J331)</f>
        <v/>
      </c>
      <c r="O331" s="51">
        <f>IF(A331="","",N331*0.25)</f>
        <v/>
      </c>
      <c r="P331" s="51">
        <f>IF(A331="","",N331-O331)</f>
        <v/>
      </c>
      <c r="Q331" s="51">
        <f>IF(A331="","",ROUND(B331*0.4+C331*0.1+D331*0.1+E331*0.1+IF(G331="Yes",5000,0)*0.1+F331*500*0.1+IF(H331="Yes",5000,0)*0.1,0))</f>
        <v/>
      </c>
      <c r="R331" s="48">
        <f>IF(A331="","",ROUND(Q331/1000,1))</f>
        <v/>
      </c>
      <c r="S331" s="48">
        <f>IF(A331="","",RANK(R331,$R$2:$R$500,0))</f>
        <v/>
      </c>
    </row>
    <row r="332" ht="22" customHeight="1">
      <c r="A332" s="46" t="n"/>
      <c r="B332" s="50" t="n"/>
      <c r="C332" s="50" t="n"/>
      <c r="D332" s="50" t="n"/>
      <c r="E332" s="50" t="n"/>
      <c r="F332" s="46" t="n"/>
      <c r="G332" s="46" t="n"/>
      <c r="H332" s="46" t="n"/>
      <c r="I332" s="50" t="n"/>
      <c r="J332" s="50" t="n"/>
      <c r="K332" s="50">
        <f>IF(A332="","",B332+C332)</f>
        <v/>
      </c>
      <c r="L332" s="50">
        <f>IF(A332="","",K332/12)</f>
        <v/>
      </c>
      <c r="M332" s="50">
        <f>IF(A332="","",K332/2080)</f>
        <v/>
      </c>
      <c r="N332" s="50">
        <f>IF(A332="","",B332+C332+D332+E332+I332+J332)</f>
        <v/>
      </c>
      <c r="O332" s="50">
        <f>IF(A332="","",N332*0.25)</f>
        <v/>
      </c>
      <c r="P332" s="50">
        <f>IF(A332="","",N332-O332)</f>
        <v/>
      </c>
      <c r="Q332" s="50">
        <f>IF(A332="","",ROUND(B332*0.4+C332*0.1+D332*0.1+E332*0.1+IF(G332="Yes",5000,0)*0.1+F332*500*0.1+IF(H332="Yes",5000,0)*0.1,0))</f>
        <v/>
      </c>
      <c r="R332" s="46">
        <f>IF(A332="","",ROUND(Q332/1000,1))</f>
        <v/>
      </c>
      <c r="S332" s="46">
        <f>IF(A332="","",RANK(R332,$R$2:$R$500,0))</f>
        <v/>
      </c>
    </row>
    <row r="333" ht="22" customHeight="1">
      <c r="A333" s="48" t="n"/>
      <c r="B333" s="51" t="n"/>
      <c r="C333" s="51" t="n"/>
      <c r="D333" s="51" t="n"/>
      <c r="E333" s="51" t="n"/>
      <c r="F333" s="48" t="n"/>
      <c r="G333" s="48" t="n"/>
      <c r="H333" s="48" t="n"/>
      <c r="I333" s="51" t="n"/>
      <c r="J333" s="51" t="n"/>
      <c r="K333" s="51">
        <f>IF(A333="","",B333+C333)</f>
        <v/>
      </c>
      <c r="L333" s="51">
        <f>IF(A333="","",K333/12)</f>
        <v/>
      </c>
      <c r="M333" s="51">
        <f>IF(A333="","",K333/2080)</f>
        <v/>
      </c>
      <c r="N333" s="51">
        <f>IF(A333="","",B333+C333+D333+E333+I333+J333)</f>
        <v/>
      </c>
      <c r="O333" s="51">
        <f>IF(A333="","",N333*0.25)</f>
        <v/>
      </c>
      <c r="P333" s="51">
        <f>IF(A333="","",N333-O333)</f>
        <v/>
      </c>
      <c r="Q333" s="51">
        <f>IF(A333="","",ROUND(B333*0.4+C333*0.1+D333*0.1+E333*0.1+IF(G333="Yes",5000,0)*0.1+F333*500*0.1+IF(H333="Yes",5000,0)*0.1,0))</f>
        <v/>
      </c>
      <c r="R333" s="48">
        <f>IF(A333="","",ROUND(Q333/1000,1))</f>
        <v/>
      </c>
      <c r="S333" s="48">
        <f>IF(A333="","",RANK(R333,$R$2:$R$500,0))</f>
        <v/>
      </c>
    </row>
    <row r="334" ht="22" customHeight="1">
      <c r="A334" s="46" t="n"/>
      <c r="B334" s="50" t="n"/>
      <c r="C334" s="50" t="n"/>
      <c r="D334" s="50" t="n"/>
      <c r="E334" s="50" t="n"/>
      <c r="F334" s="46" t="n"/>
      <c r="G334" s="46" t="n"/>
      <c r="H334" s="46" t="n"/>
      <c r="I334" s="50" t="n"/>
      <c r="J334" s="50" t="n"/>
      <c r="K334" s="50">
        <f>IF(A334="","",B334+C334)</f>
        <v/>
      </c>
      <c r="L334" s="50">
        <f>IF(A334="","",K334/12)</f>
        <v/>
      </c>
      <c r="M334" s="50">
        <f>IF(A334="","",K334/2080)</f>
        <v/>
      </c>
      <c r="N334" s="50">
        <f>IF(A334="","",B334+C334+D334+E334+I334+J334)</f>
        <v/>
      </c>
      <c r="O334" s="50">
        <f>IF(A334="","",N334*0.25)</f>
        <v/>
      </c>
      <c r="P334" s="50">
        <f>IF(A334="","",N334-O334)</f>
        <v/>
      </c>
      <c r="Q334" s="50">
        <f>IF(A334="","",ROUND(B334*0.4+C334*0.1+D334*0.1+E334*0.1+IF(G334="Yes",5000,0)*0.1+F334*500*0.1+IF(H334="Yes",5000,0)*0.1,0))</f>
        <v/>
      </c>
      <c r="R334" s="46">
        <f>IF(A334="","",ROUND(Q334/1000,1))</f>
        <v/>
      </c>
      <c r="S334" s="46">
        <f>IF(A334="","",RANK(R334,$R$2:$R$500,0))</f>
        <v/>
      </c>
    </row>
    <row r="335" ht="22" customHeight="1">
      <c r="A335" s="48" t="n"/>
      <c r="B335" s="51" t="n"/>
      <c r="C335" s="51" t="n"/>
      <c r="D335" s="51" t="n"/>
      <c r="E335" s="51" t="n"/>
      <c r="F335" s="48" t="n"/>
      <c r="G335" s="48" t="n"/>
      <c r="H335" s="48" t="n"/>
      <c r="I335" s="51" t="n"/>
      <c r="J335" s="51" t="n"/>
      <c r="K335" s="51">
        <f>IF(A335="","",B335+C335)</f>
        <v/>
      </c>
      <c r="L335" s="51">
        <f>IF(A335="","",K335/12)</f>
        <v/>
      </c>
      <c r="M335" s="51">
        <f>IF(A335="","",K335/2080)</f>
        <v/>
      </c>
      <c r="N335" s="51">
        <f>IF(A335="","",B335+C335+D335+E335+I335+J335)</f>
        <v/>
      </c>
      <c r="O335" s="51">
        <f>IF(A335="","",N335*0.25)</f>
        <v/>
      </c>
      <c r="P335" s="51">
        <f>IF(A335="","",N335-O335)</f>
        <v/>
      </c>
      <c r="Q335" s="51">
        <f>IF(A335="","",ROUND(B335*0.4+C335*0.1+D335*0.1+E335*0.1+IF(G335="Yes",5000,0)*0.1+F335*500*0.1+IF(H335="Yes",5000,0)*0.1,0))</f>
        <v/>
      </c>
      <c r="R335" s="48">
        <f>IF(A335="","",ROUND(Q335/1000,1))</f>
        <v/>
      </c>
      <c r="S335" s="48">
        <f>IF(A335="","",RANK(R335,$R$2:$R$500,0))</f>
        <v/>
      </c>
    </row>
    <row r="336" ht="22" customHeight="1">
      <c r="A336" s="46" t="n"/>
      <c r="B336" s="50" t="n"/>
      <c r="C336" s="50" t="n"/>
      <c r="D336" s="50" t="n"/>
      <c r="E336" s="50" t="n"/>
      <c r="F336" s="46" t="n"/>
      <c r="G336" s="46" t="n"/>
      <c r="H336" s="46" t="n"/>
      <c r="I336" s="50" t="n"/>
      <c r="J336" s="50" t="n"/>
      <c r="K336" s="50">
        <f>IF(A336="","",B336+C336)</f>
        <v/>
      </c>
      <c r="L336" s="50">
        <f>IF(A336="","",K336/12)</f>
        <v/>
      </c>
      <c r="M336" s="50">
        <f>IF(A336="","",K336/2080)</f>
        <v/>
      </c>
      <c r="N336" s="50">
        <f>IF(A336="","",B336+C336+D336+E336+I336+J336)</f>
        <v/>
      </c>
      <c r="O336" s="50">
        <f>IF(A336="","",N336*0.25)</f>
        <v/>
      </c>
      <c r="P336" s="50">
        <f>IF(A336="","",N336-O336)</f>
        <v/>
      </c>
      <c r="Q336" s="50">
        <f>IF(A336="","",ROUND(B336*0.4+C336*0.1+D336*0.1+E336*0.1+IF(G336="Yes",5000,0)*0.1+F336*500*0.1+IF(H336="Yes",5000,0)*0.1,0))</f>
        <v/>
      </c>
      <c r="R336" s="46">
        <f>IF(A336="","",ROUND(Q336/1000,1))</f>
        <v/>
      </c>
      <c r="S336" s="46">
        <f>IF(A336="","",RANK(R336,$R$2:$R$500,0))</f>
        <v/>
      </c>
    </row>
    <row r="337" ht="22" customHeight="1">
      <c r="A337" s="48" t="n"/>
      <c r="B337" s="51" t="n"/>
      <c r="C337" s="51" t="n"/>
      <c r="D337" s="51" t="n"/>
      <c r="E337" s="51" t="n"/>
      <c r="F337" s="48" t="n"/>
      <c r="G337" s="48" t="n"/>
      <c r="H337" s="48" t="n"/>
      <c r="I337" s="51" t="n"/>
      <c r="J337" s="51" t="n"/>
      <c r="K337" s="51">
        <f>IF(A337="","",B337+C337)</f>
        <v/>
      </c>
      <c r="L337" s="51">
        <f>IF(A337="","",K337/12)</f>
        <v/>
      </c>
      <c r="M337" s="51">
        <f>IF(A337="","",K337/2080)</f>
        <v/>
      </c>
      <c r="N337" s="51">
        <f>IF(A337="","",B337+C337+D337+E337+I337+J337)</f>
        <v/>
      </c>
      <c r="O337" s="51">
        <f>IF(A337="","",N337*0.25)</f>
        <v/>
      </c>
      <c r="P337" s="51">
        <f>IF(A337="","",N337-O337)</f>
        <v/>
      </c>
      <c r="Q337" s="51">
        <f>IF(A337="","",ROUND(B337*0.4+C337*0.1+D337*0.1+E337*0.1+IF(G337="Yes",5000,0)*0.1+F337*500*0.1+IF(H337="Yes",5000,0)*0.1,0))</f>
        <v/>
      </c>
      <c r="R337" s="48">
        <f>IF(A337="","",ROUND(Q337/1000,1))</f>
        <v/>
      </c>
      <c r="S337" s="48">
        <f>IF(A337="","",RANK(R337,$R$2:$R$500,0))</f>
        <v/>
      </c>
    </row>
    <row r="338" ht="22" customHeight="1">
      <c r="A338" s="46" t="n"/>
      <c r="B338" s="50" t="n"/>
      <c r="C338" s="50" t="n"/>
      <c r="D338" s="50" t="n"/>
      <c r="E338" s="50" t="n"/>
      <c r="F338" s="46" t="n"/>
      <c r="G338" s="46" t="n"/>
      <c r="H338" s="46" t="n"/>
      <c r="I338" s="50" t="n"/>
      <c r="J338" s="50" t="n"/>
      <c r="K338" s="50">
        <f>IF(A338="","",B338+C338)</f>
        <v/>
      </c>
      <c r="L338" s="50">
        <f>IF(A338="","",K338/12)</f>
        <v/>
      </c>
      <c r="M338" s="50">
        <f>IF(A338="","",K338/2080)</f>
        <v/>
      </c>
      <c r="N338" s="50">
        <f>IF(A338="","",B338+C338+D338+E338+I338+J338)</f>
        <v/>
      </c>
      <c r="O338" s="50">
        <f>IF(A338="","",N338*0.25)</f>
        <v/>
      </c>
      <c r="P338" s="50">
        <f>IF(A338="","",N338-O338)</f>
        <v/>
      </c>
      <c r="Q338" s="50">
        <f>IF(A338="","",ROUND(B338*0.4+C338*0.1+D338*0.1+E338*0.1+IF(G338="Yes",5000,0)*0.1+F338*500*0.1+IF(H338="Yes",5000,0)*0.1,0))</f>
        <v/>
      </c>
      <c r="R338" s="46">
        <f>IF(A338="","",ROUND(Q338/1000,1))</f>
        <v/>
      </c>
      <c r="S338" s="46">
        <f>IF(A338="","",RANK(R338,$R$2:$R$500,0))</f>
        <v/>
      </c>
    </row>
    <row r="339" ht="22" customHeight="1">
      <c r="A339" s="48" t="n"/>
      <c r="B339" s="51" t="n"/>
      <c r="C339" s="51" t="n"/>
      <c r="D339" s="51" t="n"/>
      <c r="E339" s="51" t="n"/>
      <c r="F339" s="48" t="n"/>
      <c r="G339" s="48" t="n"/>
      <c r="H339" s="48" t="n"/>
      <c r="I339" s="51" t="n"/>
      <c r="J339" s="51" t="n"/>
      <c r="K339" s="51">
        <f>IF(A339="","",B339+C339)</f>
        <v/>
      </c>
      <c r="L339" s="51">
        <f>IF(A339="","",K339/12)</f>
        <v/>
      </c>
      <c r="M339" s="51">
        <f>IF(A339="","",K339/2080)</f>
        <v/>
      </c>
      <c r="N339" s="51">
        <f>IF(A339="","",B339+C339+D339+E339+I339+J339)</f>
        <v/>
      </c>
      <c r="O339" s="51">
        <f>IF(A339="","",N339*0.25)</f>
        <v/>
      </c>
      <c r="P339" s="51">
        <f>IF(A339="","",N339-O339)</f>
        <v/>
      </c>
      <c r="Q339" s="51">
        <f>IF(A339="","",ROUND(B339*0.4+C339*0.1+D339*0.1+E339*0.1+IF(G339="Yes",5000,0)*0.1+F339*500*0.1+IF(H339="Yes",5000,0)*0.1,0))</f>
        <v/>
      </c>
      <c r="R339" s="48">
        <f>IF(A339="","",ROUND(Q339/1000,1))</f>
        <v/>
      </c>
      <c r="S339" s="48">
        <f>IF(A339="","",RANK(R339,$R$2:$R$500,0))</f>
        <v/>
      </c>
    </row>
    <row r="340" ht="22" customHeight="1">
      <c r="A340" s="46" t="n"/>
      <c r="B340" s="50" t="n"/>
      <c r="C340" s="50" t="n"/>
      <c r="D340" s="50" t="n"/>
      <c r="E340" s="50" t="n"/>
      <c r="F340" s="46" t="n"/>
      <c r="G340" s="46" t="n"/>
      <c r="H340" s="46" t="n"/>
      <c r="I340" s="50" t="n"/>
      <c r="J340" s="50" t="n"/>
      <c r="K340" s="50">
        <f>IF(A340="","",B340+C340)</f>
        <v/>
      </c>
      <c r="L340" s="50">
        <f>IF(A340="","",K340/12)</f>
        <v/>
      </c>
      <c r="M340" s="50">
        <f>IF(A340="","",K340/2080)</f>
        <v/>
      </c>
      <c r="N340" s="50">
        <f>IF(A340="","",B340+C340+D340+E340+I340+J340)</f>
        <v/>
      </c>
      <c r="O340" s="50">
        <f>IF(A340="","",N340*0.25)</f>
        <v/>
      </c>
      <c r="P340" s="50">
        <f>IF(A340="","",N340-O340)</f>
        <v/>
      </c>
      <c r="Q340" s="50">
        <f>IF(A340="","",ROUND(B340*0.4+C340*0.1+D340*0.1+E340*0.1+IF(G340="Yes",5000,0)*0.1+F340*500*0.1+IF(H340="Yes",5000,0)*0.1,0))</f>
        <v/>
      </c>
      <c r="R340" s="46">
        <f>IF(A340="","",ROUND(Q340/1000,1))</f>
        <v/>
      </c>
      <c r="S340" s="46">
        <f>IF(A340="","",RANK(R340,$R$2:$R$500,0))</f>
        <v/>
      </c>
    </row>
    <row r="341" ht="22" customHeight="1">
      <c r="A341" s="48" t="n"/>
      <c r="B341" s="51" t="n"/>
      <c r="C341" s="51" t="n"/>
      <c r="D341" s="51" t="n"/>
      <c r="E341" s="51" t="n"/>
      <c r="F341" s="48" t="n"/>
      <c r="G341" s="48" t="n"/>
      <c r="H341" s="48" t="n"/>
      <c r="I341" s="51" t="n"/>
      <c r="J341" s="51" t="n"/>
      <c r="K341" s="51">
        <f>IF(A341="","",B341+C341)</f>
        <v/>
      </c>
      <c r="L341" s="51">
        <f>IF(A341="","",K341/12)</f>
        <v/>
      </c>
      <c r="M341" s="51">
        <f>IF(A341="","",K341/2080)</f>
        <v/>
      </c>
      <c r="N341" s="51">
        <f>IF(A341="","",B341+C341+D341+E341+I341+J341)</f>
        <v/>
      </c>
      <c r="O341" s="51">
        <f>IF(A341="","",N341*0.25)</f>
        <v/>
      </c>
      <c r="P341" s="51">
        <f>IF(A341="","",N341-O341)</f>
        <v/>
      </c>
      <c r="Q341" s="51">
        <f>IF(A341="","",ROUND(B341*0.4+C341*0.1+D341*0.1+E341*0.1+IF(G341="Yes",5000,0)*0.1+F341*500*0.1+IF(H341="Yes",5000,0)*0.1,0))</f>
        <v/>
      </c>
      <c r="R341" s="48">
        <f>IF(A341="","",ROUND(Q341/1000,1))</f>
        <v/>
      </c>
      <c r="S341" s="48">
        <f>IF(A341="","",RANK(R341,$R$2:$R$500,0))</f>
        <v/>
      </c>
    </row>
    <row r="342" ht="22" customHeight="1">
      <c r="A342" s="46" t="n"/>
      <c r="B342" s="50" t="n"/>
      <c r="C342" s="50" t="n"/>
      <c r="D342" s="50" t="n"/>
      <c r="E342" s="50" t="n"/>
      <c r="F342" s="46" t="n"/>
      <c r="G342" s="46" t="n"/>
      <c r="H342" s="46" t="n"/>
      <c r="I342" s="50" t="n"/>
      <c r="J342" s="50" t="n"/>
      <c r="K342" s="50">
        <f>IF(A342="","",B342+C342)</f>
        <v/>
      </c>
      <c r="L342" s="50">
        <f>IF(A342="","",K342/12)</f>
        <v/>
      </c>
      <c r="M342" s="50">
        <f>IF(A342="","",K342/2080)</f>
        <v/>
      </c>
      <c r="N342" s="50">
        <f>IF(A342="","",B342+C342+D342+E342+I342+J342)</f>
        <v/>
      </c>
      <c r="O342" s="50">
        <f>IF(A342="","",N342*0.25)</f>
        <v/>
      </c>
      <c r="P342" s="50">
        <f>IF(A342="","",N342-O342)</f>
        <v/>
      </c>
      <c r="Q342" s="50">
        <f>IF(A342="","",ROUND(B342*0.4+C342*0.1+D342*0.1+E342*0.1+IF(G342="Yes",5000,0)*0.1+F342*500*0.1+IF(H342="Yes",5000,0)*0.1,0))</f>
        <v/>
      </c>
      <c r="R342" s="46">
        <f>IF(A342="","",ROUND(Q342/1000,1))</f>
        <v/>
      </c>
      <c r="S342" s="46">
        <f>IF(A342="","",RANK(R342,$R$2:$R$500,0))</f>
        <v/>
      </c>
    </row>
    <row r="343" ht="22" customHeight="1">
      <c r="A343" s="48" t="n"/>
      <c r="B343" s="51" t="n"/>
      <c r="C343" s="51" t="n"/>
      <c r="D343" s="51" t="n"/>
      <c r="E343" s="51" t="n"/>
      <c r="F343" s="48" t="n"/>
      <c r="G343" s="48" t="n"/>
      <c r="H343" s="48" t="n"/>
      <c r="I343" s="51" t="n"/>
      <c r="J343" s="51" t="n"/>
      <c r="K343" s="51">
        <f>IF(A343="","",B343+C343)</f>
        <v/>
      </c>
      <c r="L343" s="51">
        <f>IF(A343="","",K343/12)</f>
        <v/>
      </c>
      <c r="M343" s="51">
        <f>IF(A343="","",K343/2080)</f>
        <v/>
      </c>
      <c r="N343" s="51">
        <f>IF(A343="","",B343+C343+D343+E343+I343+J343)</f>
        <v/>
      </c>
      <c r="O343" s="51">
        <f>IF(A343="","",N343*0.25)</f>
        <v/>
      </c>
      <c r="P343" s="51">
        <f>IF(A343="","",N343-O343)</f>
        <v/>
      </c>
      <c r="Q343" s="51">
        <f>IF(A343="","",ROUND(B343*0.4+C343*0.1+D343*0.1+E343*0.1+IF(G343="Yes",5000,0)*0.1+F343*500*0.1+IF(H343="Yes",5000,0)*0.1,0))</f>
        <v/>
      </c>
      <c r="R343" s="48">
        <f>IF(A343="","",ROUND(Q343/1000,1))</f>
        <v/>
      </c>
      <c r="S343" s="48">
        <f>IF(A343="","",RANK(R343,$R$2:$R$500,0))</f>
        <v/>
      </c>
    </row>
    <row r="344" ht="22" customHeight="1">
      <c r="A344" s="46" t="n"/>
      <c r="B344" s="50" t="n"/>
      <c r="C344" s="50" t="n"/>
      <c r="D344" s="50" t="n"/>
      <c r="E344" s="50" t="n"/>
      <c r="F344" s="46" t="n"/>
      <c r="G344" s="46" t="n"/>
      <c r="H344" s="46" t="n"/>
      <c r="I344" s="50" t="n"/>
      <c r="J344" s="50" t="n"/>
      <c r="K344" s="50">
        <f>IF(A344="","",B344+C344)</f>
        <v/>
      </c>
      <c r="L344" s="50">
        <f>IF(A344="","",K344/12)</f>
        <v/>
      </c>
      <c r="M344" s="50">
        <f>IF(A344="","",K344/2080)</f>
        <v/>
      </c>
      <c r="N344" s="50">
        <f>IF(A344="","",B344+C344+D344+E344+I344+J344)</f>
        <v/>
      </c>
      <c r="O344" s="50">
        <f>IF(A344="","",N344*0.25)</f>
        <v/>
      </c>
      <c r="P344" s="50">
        <f>IF(A344="","",N344-O344)</f>
        <v/>
      </c>
      <c r="Q344" s="50">
        <f>IF(A344="","",ROUND(B344*0.4+C344*0.1+D344*0.1+E344*0.1+IF(G344="Yes",5000,0)*0.1+F344*500*0.1+IF(H344="Yes",5000,0)*0.1,0))</f>
        <v/>
      </c>
      <c r="R344" s="46">
        <f>IF(A344="","",ROUND(Q344/1000,1))</f>
        <v/>
      </c>
      <c r="S344" s="46">
        <f>IF(A344="","",RANK(R344,$R$2:$R$500,0))</f>
        <v/>
      </c>
    </row>
    <row r="345" ht="22" customHeight="1">
      <c r="A345" s="48" t="n"/>
      <c r="B345" s="51" t="n"/>
      <c r="C345" s="51" t="n"/>
      <c r="D345" s="51" t="n"/>
      <c r="E345" s="51" t="n"/>
      <c r="F345" s="48" t="n"/>
      <c r="G345" s="48" t="n"/>
      <c r="H345" s="48" t="n"/>
      <c r="I345" s="51" t="n"/>
      <c r="J345" s="51" t="n"/>
      <c r="K345" s="51">
        <f>IF(A345="","",B345+C345)</f>
        <v/>
      </c>
      <c r="L345" s="51">
        <f>IF(A345="","",K345/12)</f>
        <v/>
      </c>
      <c r="M345" s="51">
        <f>IF(A345="","",K345/2080)</f>
        <v/>
      </c>
      <c r="N345" s="51">
        <f>IF(A345="","",B345+C345+D345+E345+I345+J345)</f>
        <v/>
      </c>
      <c r="O345" s="51">
        <f>IF(A345="","",N345*0.25)</f>
        <v/>
      </c>
      <c r="P345" s="51">
        <f>IF(A345="","",N345-O345)</f>
        <v/>
      </c>
      <c r="Q345" s="51">
        <f>IF(A345="","",ROUND(B345*0.4+C345*0.1+D345*0.1+E345*0.1+IF(G345="Yes",5000,0)*0.1+F345*500*0.1+IF(H345="Yes",5000,0)*0.1,0))</f>
        <v/>
      </c>
      <c r="R345" s="48">
        <f>IF(A345="","",ROUND(Q345/1000,1))</f>
        <v/>
      </c>
      <c r="S345" s="48">
        <f>IF(A345="","",RANK(R345,$R$2:$R$500,0))</f>
        <v/>
      </c>
    </row>
    <row r="346" ht="22" customHeight="1">
      <c r="A346" s="46" t="n"/>
      <c r="B346" s="50" t="n"/>
      <c r="C346" s="50" t="n"/>
      <c r="D346" s="50" t="n"/>
      <c r="E346" s="50" t="n"/>
      <c r="F346" s="46" t="n"/>
      <c r="G346" s="46" t="n"/>
      <c r="H346" s="46" t="n"/>
      <c r="I346" s="50" t="n"/>
      <c r="J346" s="50" t="n"/>
      <c r="K346" s="50">
        <f>IF(A346="","",B346+C346)</f>
        <v/>
      </c>
      <c r="L346" s="50">
        <f>IF(A346="","",K346/12)</f>
        <v/>
      </c>
      <c r="M346" s="50">
        <f>IF(A346="","",K346/2080)</f>
        <v/>
      </c>
      <c r="N346" s="50">
        <f>IF(A346="","",B346+C346+D346+E346+I346+J346)</f>
        <v/>
      </c>
      <c r="O346" s="50">
        <f>IF(A346="","",N346*0.25)</f>
        <v/>
      </c>
      <c r="P346" s="50">
        <f>IF(A346="","",N346-O346)</f>
        <v/>
      </c>
      <c r="Q346" s="50">
        <f>IF(A346="","",ROUND(B346*0.4+C346*0.1+D346*0.1+E346*0.1+IF(G346="Yes",5000,0)*0.1+F346*500*0.1+IF(H346="Yes",5000,0)*0.1,0))</f>
        <v/>
      </c>
      <c r="R346" s="46">
        <f>IF(A346="","",ROUND(Q346/1000,1))</f>
        <v/>
      </c>
      <c r="S346" s="46">
        <f>IF(A346="","",RANK(R346,$R$2:$R$500,0))</f>
        <v/>
      </c>
    </row>
    <row r="347" ht="22" customHeight="1">
      <c r="A347" s="48" t="n"/>
      <c r="B347" s="51" t="n"/>
      <c r="C347" s="51" t="n"/>
      <c r="D347" s="51" t="n"/>
      <c r="E347" s="51" t="n"/>
      <c r="F347" s="48" t="n"/>
      <c r="G347" s="48" t="n"/>
      <c r="H347" s="48" t="n"/>
      <c r="I347" s="51" t="n"/>
      <c r="J347" s="51" t="n"/>
      <c r="K347" s="51">
        <f>IF(A347="","",B347+C347)</f>
        <v/>
      </c>
      <c r="L347" s="51">
        <f>IF(A347="","",K347/12)</f>
        <v/>
      </c>
      <c r="M347" s="51">
        <f>IF(A347="","",K347/2080)</f>
        <v/>
      </c>
      <c r="N347" s="51">
        <f>IF(A347="","",B347+C347+D347+E347+I347+J347)</f>
        <v/>
      </c>
      <c r="O347" s="51">
        <f>IF(A347="","",N347*0.25)</f>
        <v/>
      </c>
      <c r="P347" s="51">
        <f>IF(A347="","",N347-O347)</f>
        <v/>
      </c>
      <c r="Q347" s="51">
        <f>IF(A347="","",ROUND(B347*0.4+C347*0.1+D347*0.1+E347*0.1+IF(G347="Yes",5000,0)*0.1+F347*500*0.1+IF(H347="Yes",5000,0)*0.1,0))</f>
        <v/>
      </c>
      <c r="R347" s="48">
        <f>IF(A347="","",ROUND(Q347/1000,1))</f>
        <v/>
      </c>
      <c r="S347" s="48">
        <f>IF(A347="","",RANK(R347,$R$2:$R$500,0))</f>
        <v/>
      </c>
    </row>
    <row r="348" ht="22" customHeight="1">
      <c r="A348" s="46" t="n"/>
      <c r="B348" s="50" t="n"/>
      <c r="C348" s="50" t="n"/>
      <c r="D348" s="50" t="n"/>
      <c r="E348" s="50" t="n"/>
      <c r="F348" s="46" t="n"/>
      <c r="G348" s="46" t="n"/>
      <c r="H348" s="46" t="n"/>
      <c r="I348" s="50" t="n"/>
      <c r="J348" s="50" t="n"/>
      <c r="K348" s="50">
        <f>IF(A348="","",B348+C348)</f>
        <v/>
      </c>
      <c r="L348" s="50">
        <f>IF(A348="","",K348/12)</f>
        <v/>
      </c>
      <c r="M348" s="50">
        <f>IF(A348="","",K348/2080)</f>
        <v/>
      </c>
      <c r="N348" s="50">
        <f>IF(A348="","",B348+C348+D348+E348+I348+J348)</f>
        <v/>
      </c>
      <c r="O348" s="50">
        <f>IF(A348="","",N348*0.25)</f>
        <v/>
      </c>
      <c r="P348" s="50">
        <f>IF(A348="","",N348-O348)</f>
        <v/>
      </c>
      <c r="Q348" s="50">
        <f>IF(A348="","",ROUND(B348*0.4+C348*0.1+D348*0.1+E348*0.1+IF(G348="Yes",5000,0)*0.1+F348*500*0.1+IF(H348="Yes",5000,0)*0.1,0))</f>
        <v/>
      </c>
      <c r="R348" s="46">
        <f>IF(A348="","",ROUND(Q348/1000,1))</f>
        <v/>
      </c>
      <c r="S348" s="46">
        <f>IF(A348="","",RANK(R348,$R$2:$R$500,0))</f>
        <v/>
      </c>
    </row>
    <row r="349" ht="22" customHeight="1">
      <c r="A349" s="48" t="n"/>
      <c r="B349" s="51" t="n"/>
      <c r="C349" s="51" t="n"/>
      <c r="D349" s="51" t="n"/>
      <c r="E349" s="51" t="n"/>
      <c r="F349" s="48" t="n"/>
      <c r="G349" s="48" t="n"/>
      <c r="H349" s="48" t="n"/>
      <c r="I349" s="51" t="n"/>
      <c r="J349" s="51" t="n"/>
      <c r="K349" s="51">
        <f>IF(A349="","",B349+C349)</f>
        <v/>
      </c>
      <c r="L349" s="51">
        <f>IF(A349="","",K349/12)</f>
        <v/>
      </c>
      <c r="M349" s="51">
        <f>IF(A349="","",K349/2080)</f>
        <v/>
      </c>
      <c r="N349" s="51">
        <f>IF(A349="","",B349+C349+D349+E349+I349+J349)</f>
        <v/>
      </c>
      <c r="O349" s="51">
        <f>IF(A349="","",N349*0.25)</f>
        <v/>
      </c>
      <c r="P349" s="51">
        <f>IF(A349="","",N349-O349)</f>
        <v/>
      </c>
      <c r="Q349" s="51">
        <f>IF(A349="","",ROUND(B349*0.4+C349*0.1+D349*0.1+E349*0.1+IF(G349="Yes",5000,0)*0.1+F349*500*0.1+IF(H349="Yes",5000,0)*0.1,0))</f>
        <v/>
      </c>
      <c r="R349" s="48">
        <f>IF(A349="","",ROUND(Q349/1000,1))</f>
        <v/>
      </c>
      <c r="S349" s="48">
        <f>IF(A349="","",RANK(R349,$R$2:$R$500,0))</f>
        <v/>
      </c>
    </row>
    <row r="350" ht="22" customHeight="1">
      <c r="A350" s="46" t="n"/>
      <c r="B350" s="50" t="n"/>
      <c r="C350" s="50" t="n"/>
      <c r="D350" s="50" t="n"/>
      <c r="E350" s="50" t="n"/>
      <c r="F350" s="46" t="n"/>
      <c r="G350" s="46" t="n"/>
      <c r="H350" s="46" t="n"/>
      <c r="I350" s="50" t="n"/>
      <c r="J350" s="50" t="n"/>
      <c r="K350" s="50">
        <f>IF(A350="","",B350+C350)</f>
        <v/>
      </c>
      <c r="L350" s="50">
        <f>IF(A350="","",K350/12)</f>
        <v/>
      </c>
      <c r="M350" s="50">
        <f>IF(A350="","",K350/2080)</f>
        <v/>
      </c>
      <c r="N350" s="50">
        <f>IF(A350="","",B350+C350+D350+E350+I350+J350)</f>
        <v/>
      </c>
      <c r="O350" s="50">
        <f>IF(A350="","",N350*0.25)</f>
        <v/>
      </c>
      <c r="P350" s="50">
        <f>IF(A350="","",N350-O350)</f>
        <v/>
      </c>
      <c r="Q350" s="50">
        <f>IF(A350="","",ROUND(B350*0.4+C350*0.1+D350*0.1+E350*0.1+IF(G350="Yes",5000,0)*0.1+F350*500*0.1+IF(H350="Yes",5000,0)*0.1,0))</f>
        <v/>
      </c>
      <c r="R350" s="46">
        <f>IF(A350="","",ROUND(Q350/1000,1))</f>
        <v/>
      </c>
      <c r="S350" s="46">
        <f>IF(A350="","",RANK(R350,$R$2:$R$500,0))</f>
        <v/>
      </c>
    </row>
    <row r="351" ht="22" customHeight="1">
      <c r="A351" s="48" t="n"/>
      <c r="B351" s="51" t="n"/>
      <c r="C351" s="51" t="n"/>
      <c r="D351" s="51" t="n"/>
      <c r="E351" s="51" t="n"/>
      <c r="F351" s="48" t="n"/>
      <c r="G351" s="48" t="n"/>
      <c r="H351" s="48" t="n"/>
      <c r="I351" s="51" t="n"/>
      <c r="J351" s="51" t="n"/>
      <c r="K351" s="51">
        <f>IF(A351="","",B351+C351)</f>
        <v/>
      </c>
      <c r="L351" s="51">
        <f>IF(A351="","",K351/12)</f>
        <v/>
      </c>
      <c r="M351" s="51">
        <f>IF(A351="","",K351/2080)</f>
        <v/>
      </c>
      <c r="N351" s="51">
        <f>IF(A351="","",B351+C351+D351+E351+I351+J351)</f>
        <v/>
      </c>
      <c r="O351" s="51">
        <f>IF(A351="","",N351*0.25)</f>
        <v/>
      </c>
      <c r="P351" s="51">
        <f>IF(A351="","",N351-O351)</f>
        <v/>
      </c>
      <c r="Q351" s="51">
        <f>IF(A351="","",ROUND(B351*0.4+C351*0.1+D351*0.1+E351*0.1+IF(G351="Yes",5000,0)*0.1+F351*500*0.1+IF(H351="Yes",5000,0)*0.1,0))</f>
        <v/>
      </c>
      <c r="R351" s="48">
        <f>IF(A351="","",ROUND(Q351/1000,1))</f>
        <v/>
      </c>
      <c r="S351" s="48">
        <f>IF(A351="","",RANK(R351,$R$2:$R$500,0))</f>
        <v/>
      </c>
    </row>
    <row r="352" ht="22" customHeight="1">
      <c r="A352" s="46" t="n"/>
      <c r="B352" s="50" t="n"/>
      <c r="C352" s="50" t="n"/>
      <c r="D352" s="50" t="n"/>
      <c r="E352" s="50" t="n"/>
      <c r="F352" s="46" t="n"/>
      <c r="G352" s="46" t="n"/>
      <c r="H352" s="46" t="n"/>
      <c r="I352" s="50" t="n"/>
      <c r="J352" s="50" t="n"/>
      <c r="K352" s="50">
        <f>IF(A352="","",B352+C352)</f>
        <v/>
      </c>
      <c r="L352" s="50">
        <f>IF(A352="","",K352/12)</f>
        <v/>
      </c>
      <c r="M352" s="50">
        <f>IF(A352="","",K352/2080)</f>
        <v/>
      </c>
      <c r="N352" s="50">
        <f>IF(A352="","",B352+C352+D352+E352+I352+J352)</f>
        <v/>
      </c>
      <c r="O352" s="50">
        <f>IF(A352="","",N352*0.25)</f>
        <v/>
      </c>
      <c r="P352" s="50">
        <f>IF(A352="","",N352-O352)</f>
        <v/>
      </c>
      <c r="Q352" s="50">
        <f>IF(A352="","",ROUND(B352*0.4+C352*0.1+D352*0.1+E352*0.1+IF(G352="Yes",5000,0)*0.1+F352*500*0.1+IF(H352="Yes",5000,0)*0.1,0))</f>
        <v/>
      </c>
      <c r="R352" s="46">
        <f>IF(A352="","",ROUND(Q352/1000,1))</f>
        <v/>
      </c>
      <c r="S352" s="46">
        <f>IF(A352="","",RANK(R352,$R$2:$R$500,0))</f>
        <v/>
      </c>
    </row>
    <row r="353" ht="22" customHeight="1">
      <c r="A353" s="48" t="n"/>
      <c r="B353" s="51" t="n"/>
      <c r="C353" s="51" t="n"/>
      <c r="D353" s="51" t="n"/>
      <c r="E353" s="51" t="n"/>
      <c r="F353" s="48" t="n"/>
      <c r="G353" s="48" t="n"/>
      <c r="H353" s="48" t="n"/>
      <c r="I353" s="51" t="n"/>
      <c r="J353" s="51" t="n"/>
      <c r="K353" s="51">
        <f>IF(A353="","",B353+C353)</f>
        <v/>
      </c>
      <c r="L353" s="51">
        <f>IF(A353="","",K353/12)</f>
        <v/>
      </c>
      <c r="M353" s="51">
        <f>IF(A353="","",K353/2080)</f>
        <v/>
      </c>
      <c r="N353" s="51">
        <f>IF(A353="","",B353+C353+D353+E353+I353+J353)</f>
        <v/>
      </c>
      <c r="O353" s="51">
        <f>IF(A353="","",N353*0.25)</f>
        <v/>
      </c>
      <c r="P353" s="51">
        <f>IF(A353="","",N353-O353)</f>
        <v/>
      </c>
      <c r="Q353" s="51">
        <f>IF(A353="","",ROUND(B353*0.4+C353*0.1+D353*0.1+E353*0.1+IF(G353="Yes",5000,0)*0.1+F353*500*0.1+IF(H353="Yes",5000,0)*0.1,0))</f>
        <v/>
      </c>
      <c r="R353" s="48">
        <f>IF(A353="","",ROUND(Q353/1000,1))</f>
        <v/>
      </c>
      <c r="S353" s="48">
        <f>IF(A353="","",RANK(R353,$R$2:$R$500,0))</f>
        <v/>
      </c>
    </row>
    <row r="354" ht="22" customHeight="1">
      <c r="A354" s="46" t="n"/>
      <c r="B354" s="50" t="n"/>
      <c r="C354" s="50" t="n"/>
      <c r="D354" s="50" t="n"/>
      <c r="E354" s="50" t="n"/>
      <c r="F354" s="46" t="n"/>
      <c r="G354" s="46" t="n"/>
      <c r="H354" s="46" t="n"/>
      <c r="I354" s="50" t="n"/>
      <c r="J354" s="50" t="n"/>
      <c r="K354" s="50">
        <f>IF(A354="","",B354+C354)</f>
        <v/>
      </c>
      <c r="L354" s="50">
        <f>IF(A354="","",K354/12)</f>
        <v/>
      </c>
      <c r="M354" s="50">
        <f>IF(A354="","",K354/2080)</f>
        <v/>
      </c>
      <c r="N354" s="50">
        <f>IF(A354="","",B354+C354+D354+E354+I354+J354)</f>
        <v/>
      </c>
      <c r="O354" s="50">
        <f>IF(A354="","",N354*0.25)</f>
        <v/>
      </c>
      <c r="P354" s="50">
        <f>IF(A354="","",N354-O354)</f>
        <v/>
      </c>
      <c r="Q354" s="50">
        <f>IF(A354="","",ROUND(B354*0.4+C354*0.1+D354*0.1+E354*0.1+IF(G354="Yes",5000,0)*0.1+F354*500*0.1+IF(H354="Yes",5000,0)*0.1,0))</f>
        <v/>
      </c>
      <c r="R354" s="46">
        <f>IF(A354="","",ROUND(Q354/1000,1))</f>
        <v/>
      </c>
      <c r="S354" s="46">
        <f>IF(A354="","",RANK(R354,$R$2:$R$500,0))</f>
        <v/>
      </c>
    </row>
    <row r="355" ht="22" customHeight="1">
      <c r="A355" s="48" t="n"/>
      <c r="B355" s="51" t="n"/>
      <c r="C355" s="51" t="n"/>
      <c r="D355" s="51" t="n"/>
      <c r="E355" s="51" t="n"/>
      <c r="F355" s="48" t="n"/>
      <c r="G355" s="48" t="n"/>
      <c r="H355" s="48" t="n"/>
      <c r="I355" s="51" t="n"/>
      <c r="J355" s="51" t="n"/>
      <c r="K355" s="51">
        <f>IF(A355="","",B355+C355)</f>
        <v/>
      </c>
      <c r="L355" s="51">
        <f>IF(A355="","",K355/12)</f>
        <v/>
      </c>
      <c r="M355" s="51">
        <f>IF(A355="","",K355/2080)</f>
        <v/>
      </c>
      <c r="N355" s="51">
        <f>IF(A355="","",B355+C355+D355+E355+I355+J355)</f>
        <v/>
      </c>
      <c r="O355" s="51">
        <f>IF(A355="","",N355*0.25)</f>
        <v/>
      </c>
      <c r="P355" s="51">
        <f>IF(A355="","",N355-O355)</f>
        <v/>
      </c>
      <c r="Q355" s="51">
        <f>IF(A355="","",ROUND(B355*0.4+C355*0.1+D355*0.1+E355*0.1+IF(G355="Yes",5000,0)*0.1+F355*500*0.1+IF(H355="Yes",5000,0)*0.1,0))</f>
        <v/>
      </c>
      <c r="R355" s="48">
        <f>IF(A355="","",ROUND(Q355/1000,1))</f>
        <v/>
      </c>
      <c r="S355" s="48">
        <f>IF(A355="","",RANK(R355,$R$2:$R$500,0))</f>
        <v/>
      </c>
    </row>
    <row r="356" ht="22" customHeight="1">
      <c r="A356" s="46" t="n"/>
      <c r="B356" s="50" t="n"/>
      <c r="C356" s="50" t="n"/>
      <c r="D356" s="50" t="n"/>
      <c r="E356" s="50" t="n"/>
      <c r="F356" s="46" t="n"/>
      <c r="G356" s="46" t="n"/>
      <c r="H356" s="46" t="n"/>
      <c r="I356" s="50" t="n"/>
      <c r="J356" s="50" t="n"/>
      <c r="K356" s="50">
        <f>IF(A356="","",B356+C356)</f>
        <v/>
      </c>
      <c r="L356" s="50">
        <f>IF(A356="","",K356/12)</f>
        <v/>
      </c>
      <c r="M356" s="50">
        <f>IF(A356="","",K356/2080)</f>
        <v/>
      </c>
      <c r="N356" s="50">
        <f>IF(A356="","",B356+C356+D356+E356+I356+J356)</f>
        <v/>
      </c>
      <c r="O356" s="50">
        <f>IF(A356="","",N356*0.25)</f>
        <v/>
      </c>
      <c r="P356" s="50">
        <f>IF(A356="","",N356-O356)</f>
        <v/>
      </c>
      <c r="Q356" s="50">
        <f>IF(A356="","",ROUND(B356*0.4+C356*0.1+D356*0.1+E356*0.1+IF(G356="Yes",5000,0)*0.1+F356*500*0.1+IF(H356="Yes",5000,0)*0.1,0))</f>
        <v/>
      </c>
      <c r="R356" s="46">
        <f>IF(A356="","",ROUND(Q356/1000,1))</f>
        <v/>
      </c>
      <c r="S356" s="46">
        <f>IF(A356="","",RANK(R356,$R$2:$R$500,0))</f>
        <v/>
      </c>
    </row>
    <row r="357" ht="22" customHeight="1">
      <c r="A357" s="48" t="n"/>
      <c r="B357" s="51" t="n"/>
      <c r="C357" s="51" t="n"/>
      <c r="D357" s="51" t="n"/>
      <c r="E357" s="51" t="n"/>
      <c r="F357" s="48" t="n"/>
      <c r="G357" s="48" t="n"/>
      <c r="H357" s="48" t="n"/>
      <c r="I357" s="51" t="n"/>
      <c r="J357" s="51" t="n"/>
      <c r="K357" s="51">
        <f>IF(A357="","",B357+C357)</f>
        <v/>
      </c>
      <c r="L357" s="51">
        <f>IF(A357="","",K357/12)</f>
        <v/>
      </c>
      <c r="M357" s="51">
        <f>IF(A357="","",K357/2080)</f>
        <v/>
      </c>
      <c r="N357" s="51">
        <f>IF(A357="","",B357+C357+D357+E357+I357+J357)</f>
        <v/>
      </c>
      <c r="O357" s="51">
        <f>IF(A357="","",N357*0.25)</f>
        <v/>
      </c>
      <c r="P357" s="51">
        <f>IF(A357="","",N357-O357)</f>
        <v/>
      </c>
      <c r="Q357" s="51">
        <f>IF(A357="","",ROUND(B357*0.4+C357*0.1+D357*0.1+E357*0.1+IF(G357="Yes",5000,0)*0.1+F357*500*0.1+IF(H357="Yes",5000,0)*0.1,0))</f>
        <v/>
      </c>
      <c r="R357" s="48">
        <f>IF(A357="","",ROUND(Q357/1000,1))</f>
        <v/>
      </c>
      <c r="S357" s="48">
        <f>IF(A357="","",RANK(R357,$R$2:$R$500,0))</f>
        <v/>
      </c>
    </row>
    <row r="358" ht="22" customHeight="1">
      <c r="A358" s="46" t="n"/>
      <c r="B358" s="50" t="n"/>
      <c r="C358" s="50" t="n"/>
      <c r="D358" s="50" t="n"/>
      <c r="E358" s="50" t="n"/>
      <c r="F358" s="46" t="n"/>
      <c r="G358" s="46" t="n"/>
      <c r="H358" s="46" t="n"/>
      <c r="I358" s="50" t="n"/>
      <c r="J358" s="50" t="n"/>
      <c r="K358" s="50">
        <f>IF(A358="","",B358+C358)</f>
        <v/>
      </c>
      <c r="L358" s="50">
        <f>IF(A358="","",K358/12)</f>
        <v/>
      </c>
      <c r="M358" s="50">
        <f>IF(A358="","",K358/2080)</f>
        <v/>
      </c>
      <c r="N358" s="50">
        <f>IF(A358="","",B358+C358+D358+E358+I358+J358)</f>
        <v/>
      </c>
      <c r="O358" s="50">
        <f>IF(A358="","",N358*0.25)</f>
        <v/>
      </c>
      <c r="P358" s="50">
        <f>IF(A358="","",N358-O358)</f>
        <v/>
      </c>
      <c r="Q358" s="50">
        <f>IF(A358="","",ROUND(B358*0.4+C358*0.1+D358*0.1+E358*0.1+IF(G358="Yes",5000,0)*0.1+F358*500*0.1+IF(H358="Yes",5000,0)*0.1,0))</f>
        <v/>
      </c>
      <c r="R358" s="46">
        <f>IF(A358="","",ROUND(Q358/1000,1))</f>
        <v/>
      </c>
      <c r="S358" s="46">
        <f>IF(A358="","",RANK(R358,$R$2:$R$500,0))</f>
        <v/>
      </c>
    </row>
    <row r="359" ht="22" customHeight="1">
      <c r="A359" s="48" t="n"/>
      <c r="B359" s="51" t="n"/>
      <c r="C359" s="51" t="n"/>
      <c r="D359" s="51" t="n"/>
      <c r="E359" s="51" t="n"/>
      <c r="F359" s="48" t="n"/>
      <c r="G359" s="48" t="n"/>
      <c r="H359" s="48" t="n"/>
      <c r="I359" s="51" t="n"/>
      <c r="J359" s="51" t="n"/>
      <c r="K359" s="51">
        <f>IF(A359="","",B359+C359)</f>
        <v/>
      </c>
      <c r="L359" s="51">
        <f>IF(A359="","",K359/12)</f>
        <v/>
      </c>
      <c r="M359" s="51">
        <f>IF(A359="","",K359/2080)</f>
        <v/>
      </c>
      <c r="N359" s="51">
        <f>IF(A359="","",B359+C359+D359+E359+I359+J359)</f>
        <v/>
      </c>
      <c r="O359" s="51">
        <f>IF(A359="","",N359*0.25)</f>
        <v/>
      </c>
      <c r="P359" s="51">
        <f>IF(A359="","",N359-O359)</f>
        <v/>
      </c>
      <c r="Q359" s="51">
        <f>IF(A359="","",ROUND(B359*0.4+C359*0.1+D359*0.1+E359*0.1+IF(G359="Yes",5000,0)*0.1+F359*500*0.1+IF(H359="Yes",5000,0)*0.1,0))</f>
        <v/>
      </c>
      <c r="R359" s="48">
        <f>IF(A359="","",ROUND(Q359/1000,1))</f>
        <v/>
      </c>
      <c r="S359" s="48">
        <f>IF(A359="","",RANK(R359,$R$2:$R$500,0))</f>
        <v/>
      </c>
    </row>
    <row r="360" ht="22" customHeight="1">
      <c r="A360" s="46" t="n"/>
      <c r="B360" s="50" t="n"/>
      <c r="C360" s="50" t="n"/>
      <c r="D360" s="50" t="n"/>
      <c r="E360" s="50" t="n"/>
      <c r="F360" s="46" t="n"/>
      <c r="G360" s="46" t="n"/>
      <c r="H360" s="46" t="n"/>
      <c r="I360" s="50" t="n"/>
      <c r="J360" s="50" t="n"/>
      <c r="K360" s="50">
        <f>IF(A360="","",B360+C360)</f>
        <v/>
      </c>
      <c r="L360" s="50">
        <f>IF(A360="","",K360/12)</f>
        <v/>
      </c>
      <c r="M360" s="50">
        <f>IF(A360="","",K360/2080)</f>
        <v/>
      </c>
      <c r="N360" s="50">
        <f>IF(A360="","",B360+C360+D360+E360+I360+J360)</f>
        <v/>
      </c>
      <c r="O360" s="50">
        <f>IF(A360="","",N360*0.25)</f>
        <v/>
      </c>
      <c r="P360" s="50">
        <f>IF(A360="","",N360-O360)</f>
        <v/>
      </c>
      <c r="Q360" s="50">
        <f>IF(A360="","",ROUND(B360*0.4+C360*0.1+D360*0.1+E360*0.1+IF(G360="Yes",5000,0)*0.1+F360*500*0.1+IF(H360="Yes",5000,0)*0.1,0))</f>
        <v/>
      </c>
      <c r="R360" s="46">
        <f>IF(A360="","",ROUND(Q360/1000,1))</f>
        <v/>
      </c>
      <c r="S360" s="46">
        <f>IF(A360="","",RANK(R360,$R$2:$R$500,0))</f>
        <v/>
      </c>
    </row>
    <row r="361" ht="22" customHeight="1">
      <c r="A361" s="48" t="n"/>
      <c r="B361" s="51" t="n"/>
      <c r="C361" s="51" t="n"/>
      <c r="D361" s="51" t="n"/>
      <c r="E361" s="51" t="n"/>
      <c r="F361" s="48" t="n"/>
      <c r="G361" s="48" t="n"/>
      <c r="H361" s="48" t="n"/>
      <c r="I361" s="51" t="n"/>
      <c r="J361" s="51" t="n"/>
      <c r="K361" s="51">
        <f>IF(A361="","",B361+C361)</f>
        <v/>
      </c>
      <c r="L361" s="51">
        <f>IF(A361="","",K361/12)</f>
        <v/>
      </c>
      <c r="M361" s="51">
        <f>IF(A361="","",K361/2080)</f>
        <v/>
      </c>
      <c r="N361" s="51">
        <f>IF(A361="","",B361+C361+D361+E361+I361+J361)</f>
        <v/>
      </c>
      <c r="O361" s="51">
        <f>IF(A361="","",N361*0.25)</f>
        <v/>
      </c>
      <c r="P361" s="51">
        <f>IF(A361="","",N361-O361)</f>
        <v/>
      </c>
      <c r="Q361" s="51">
        <f>IF(A361="","",ROUND(B361*0.4+C361*0.1+D361*0.1+E361*0.1+IF(G361="Yes",5000,0)*0.1+F361*500*0.1+IF(H361="Yes",5000,0)*0.1,0))</f>
        <v/>
      </c>
      <c r="R361" s="48">
        <f>IF(A361="","",ROUND(Q361/1000,1))</f>
        <v/>
      </c>
      <c r="S361" s="48">
        <f>IF(A361="","",RANK(R361,$R$2:$R$500,0))</f>
        <v/>
      </c>
    </row>
    <row r="362" ht="22" customHeight="1">
      <c r="A362" s="46" t="n"/>
      <c r="B362" s="50" t="n"/>
      <c r="C362" s="50" t="n"/>
      <c r="D362" s="50" t="n"/>
      <c r="E362" s="50" t="n"/>
      <c r="F362" s="46" t="n"/>
      <c r="G362" s="46" t="n"/>
      <c r="H362" s="46" t="n"/>
      <c r="I362" s="50" t="n"/>
      <c r="J362" s="50" t="n"/>
      <c r="K362" s="50">
        <f>IF(A362="","",B362+C362)</f>
        <v/>
      </c>
      <c r="L362" s="50">
        <f>IF(A362="","",K362/12)</f>
        <v/>
      </c>
      <c r="M362" s="50">
        <f>IF(A362="","",K362/2080)</f>
        <v/>
      </c>
      <c r="N362" s="50">
        <f>IF(A362="","",B362+C362+D362+E362+I362+J362)</f>
        <v/>
      </c>
      <c r="O362" s="50">
        <f>IF(A362="","",N362*0.25)</f>
        <v/>
      </c>
      <c r="P362" s="50">
        <f>IF(A362="","",N362-O362)</f>
        <v/>
      </c>
      <c r="Q362" s="50">
        <f>IF(A362="","",ROUND(B362*0.4+C362*0.1+D362*0.1+E362*0.1+IF(G362="Yes",5000,0)*0.1+F362*500*0.1+IF(H362="Yes",5000,0)*0.1,0))</f>
        <v/>
      </c>
      <c r="R362" s="46">
        <f>IF(A362="","",ROUND(Q362/1000,1))</f>
        <v/>
      </c>
      <c r="S362" s="46">
        <f>IF(A362="","",RANK(R362,$R$2:$R$500,0))</f>
        <v/>
      </c>
    </row>
    <row r="363" ht="22" customHeight="1">
      <c r="A363" s="48" t="n"/>
      <c r="B363" s="51" t="n"/>
      <c r="C363" s="51" t="n"/>
      <c r="D363" s="51" t="n"/>
      <c r="E363" s="51" t="n"/>
      <c r="F363" s="48" t="n"/>
      <c r="G363" s="48" t="n"/>
      <c r="H363" s="48" t="n"/>
      <c r="I363" s="51" t="n"/>
      <c r="J363" s="51" t="n"/>
      <c r="K363" s="51">
        <f>IF(A363="","",B363+C363)</f>
        <v/>
      </c>
      <c r="L363" s="51">
        <f>IF(A363="","",K363/12)</f>
        <v/>
      </c>
      <c r="M363" s="51">
        <f>IF(A363="","",K363/2080)</f>
        <v/>
      </c>
      <c r="N363" s="51">
        <f>IF(A363="","",B363+C363+D363+E363+I363+J363)</f>
        <v/>
      </c>
      <c r="O363" s="51">
        <f>IF(A363="","",N363*0.25)</f>
        <v/>
      </c>
      <c r="P363" s="51">
        <f>IF(A363="","",N363-O363)</f>
        <v/>
      </c>
      <c r="Q363" s="51">
        <f>IF(A363="","",ROUND(B363*0.4+C363*0.1+D363*0.1+E363*0.1+IF(G363="Yes",5000,0)*0.1+F363*500*0.1+IF(H363="Yes",5000,0)*0.1,0))</f>
        <v/>
      </c>
      <c r="R363" s="48">
        <f>IF(A363="","",ROUND(Q363/1000,1))</f>
        <v/>
      </c>
      <c r="S363" s="48">
        <f>IF(A363="","",RANK(R363,$R$2:$R$500,0))</f>
        <v/>
      </c>
    </row>
    <row r="364" ht="22" customHeight="1">
      <c r="A364" s="46" t="n"/>
      <c r="B364" s="50" t="n"/>
      <c r="C364" s="50" t="n"/>
      <c r="D364" s="50" t="n"/>
      <c r="E364" s="50" t="n"/>
      <c r="F364" s="46" t="n"/>
      <c r="G364" s="46" t="n"/>
      <c r="H364" s="46" t="n"/>
      <c r="I364" s="50" t="n"/>
      <c r="J364" s="50" t="n"/>
      <c r="K364" s="50">
        <f>IF(A364="","",B364+C364)</f>
        <v/>
      </c>
      <c r="L364" s="50">
        <f>IF(A364="","",K364/12)</f>
        <v/>
      </c>
      <c r="M364" s="50">
        <f>IF(A364="","",K364/2080)</f>
        <v/>
      </c>
      <c r="N364" s="50">
        <f>IF(A364="","",B364+C364+D364+E364+I364+J364)</f>
        <v/>
      </c>
      <c r="O364" s="50">
        <f>IF(A364="","",N364*0.25)</f>
        <v/>
      </c>
      <c r="P364" s="50">
        <f>IF(A364="","",N364-O364)</f>
        <v/>
      </c>
      <c r="Q364" s="50">
        <f>IF(A364="","",ROUND(B364*0.4+C364*0.1+D364*0.1+E364*0.1+IF(G364="Yes",5000,0)*0.1+F364*500*0.1+IF(H364="Yes",5000,0)*0.1,0))</f>
        <v/>
      </c>
      <c r="R364" s="46">
        <f>IF(A364="","",ROUND(Q364/1000,1))</f>
        <v/>
      </c>
      <c r="S364" s="46">
        <f>IF(A364="","",RANK(R364,$R$2:$R$500,0))</f>
        <v/>
      </c>
    </row>
    <row r="365" ht="22" customHeight="1">
      <c r="A365" s="48" t="n"/>
      <c r="B365" s="51" t="n"/>
      <c r="C365" s="51" t="n"/>
      <c r="D365" s="51" t="n"/>
      <c r="E365" s="51" t="n"/>
      <c r="F365" s="48" t="n"/>
      <c r="G365" s="48" t="n"/>
      <c r="H365" s="48" t="n"/>
      <c r="I365" s="51" t="n"/>
      <c r="J365" s="51" t="n"/>
      <c r="K365" s="51">
        <f>IF(A365="","",B365+C365)</f>
        <v/>
      </c>
      <c r="L365" s="51">
        <f>IF(A365="","",K365/12)</f>
        <v/>
      </c>
      <c r="M365" s="51">
        <f>IF(A365="","",K365/2080)</f>
        <v/>
      </c>
      <c r="N365" s="51">
        <f>IF(A365="","",B365+C365+D365+E365+I365+J365)</f>
        <v/>
      </c>
      <c r="O365" s="51">
        <f>IF(A365="","",N365*0.25)</f>
        <v/>
      </c>
      <c r="P365" s="51">
        <f>IF(A365="","",N365-O365)</f>
        <v/>
      </c>
      <c r="Q365" s="51">
        <f>IF(A365="","",ROUND(B365*0.4+C365*0.1+D365*0.1+E365*0.1+IF(G365="Yes",5000,0)*0.1+F365*500*0.1+IF(H365="Yes",5000,0)*0.1,0))</f>
        <v/>
      </c>
      <c r="R365" s="48">
        <f>IF(A365="","",ROUND(Q365/1000,1))</f>
        <v/>
      </c>
      <c r="S365" s="48">
        <f>IF(A365="","",RANK(R365,$R$2:$R$500,0))</f>
        <v/>
      </c>
    </row>
    <row r="366" ht="22" customHeight="1">
      <c r="A366" s="46" t="n"/>
      <c r="B366" s="50" t="n"/>
      <c r="C366" s="50" t="n"/>
      <c r="D366" s="50" t="n"/>
      <c r="E366" s="50" t="n"/>
      <c r="F366" s="46" t="n"/>
      <c r="G366" s="46" t="n"/>
      <c r="H366" s="46" t="n"/>
      <c r="I366" s="50" t="n"/>
      <c r="J366" s="50" t="n"/>
      <c r="K366" s="50">
        <f>IF(A366="","",B366+C366)</f>
        <v/>
      </c>
      <c r="L366" s="50">
        <f>IF(A366="","",K366/12)</f>
        <v/>
      </c>
      <c r="M366" s="50">
        <f>IF(A366="","",K366/2080)</f>
        <v/>
      </c>
      <c r="N366" s="50">
        <f>IF(A366="","",B366+C366+D366+E366+I366+J366)</f>
        <v/>
      </c>
      <c r="O366" s="50">
        <f>IF(A366="","",N366*0.25)</f>
        <v/>
      </c>
      <c r="P366" s="50">
        <f>IF(A366="","",N366-O366)</f>
        <v/>
      </c>
      <c r="Q366" s="50">
        <f>IF(A366="","",ROUND(B366*0.4+C366*0.1+D366*0.1+E366*0.1+IF(G366="Yes",5000,0)*0.1+F366*500*0.1+IF(H366="Yes",5000,0)*0.1,0))</f>
        <v/>
      </c>
      <c r="R366" s="46">
        <f>IF(A366="","",ROUND(Q366/1000,1))</f>
        <v/>
      </c>
      <c r="S366" s="46">
        <f>IF(A366="","",RANK(R366,$R$2:$R$500,0))</f>
        <v/>
      </c>
    </row>
    <row r="367" ht="22" customHeight="1">
      <c r="A367" s="48" t="n"/>
      <c r="B367" s="51" t="n"/>
      <c r="C367" s="51" t="n"/>
      <c r="D367" s="51" t="n"/>
      <c r="E367" s="51" t="n"/>
      <c r="F367" s="48" t="n"/>
      <c r="G367" s="48" t="n"/>
      <c r="H367" s="48" t="n"/>
      <c r="I367" s="51" t="n"/>
      <c r="J367" s="51" t="n"/>
      <c r="K367" s="51">
        <f>IF(A367="","",B367+C367)</f>
        <v/>
      </c>
      <c r="L367" s="51">
        <f>IF(A367="","",K367/12)</f>
        <v/>
      </c>
      <c r="M367" s="51">
        <f>IF(A367="","",K367/2080)</f>
        <v/>
      </c>
      <c r="N367" s="51">
        <f>IF(A367="","",B367+C367+D367+E367+I367+J367)</f>
        <v/>
      </c>
      <c r="O367" s="51">
        <f>IF(A367="","",N367*0.25)</f>
        <v/>
      </c>
      <c r="P367" s="51">
        <f>IF(A367="","",N367-O367)</f>
        <v/>
      </c>
      <c r="Q367" s="51">
        <f>IF(A367="","",ROUND(B367*0.4+C367*0.1+D367*0.1+E367*0.1+IF(G367="Yes",5000,0)*0.1+F367*500*0.1+IF(H367="Yes",5000,0)*0.1,0))</f>
        <v/>
      </c>
      <c r="R367" s="48">
        <f>IF(A367="","",ROUND(Q367/1000,1))</f>
        <v/>
      </c>
      <c r="S367" s="48">
        <f>IF(A367="","",RANK(R367,$R$2:$R$500,0))</f>
        <v/>
      </c>
    </row>
    <row r="368" ht="22" customHeight="1">
      <c r="A368" s="46" t="n"/>
      <c r="B368" s="50" t="n"/>
      <c r="C368" s="50" t="n"/>
      <c r="D368" s="50" t="n"/>
      <c r="E368" s="50" t="n"/>
      <c r="F368" s="46" t="n"/>
      <c r="G368" s="46" t="n"/>
      <c r="H368" s="46" t="n"/>
      <c r="I368" s="50" t="n"/>
      <c r="J368" s="50" t="n"/>
      <c r="K368" s="50">
        <f>IF(A368="","",B368+C368)</f>
        <v/>
      </c>
      <c r="L368" s="50">
        <f>IF(A368="","",K368/12)</f>
        <v/>
      </c>
      <c r="M368" s="50">
        <f>IF(A368="","",K368/2080)</f>
        <v/>
      </c>
      <c r="N368" s="50">
        <f>IF(A368="","",B368+C368+D368+E368+I368+J368)</f>
        <v/>
      </c>
      <c r="O368" s="50">
        <f>IF(A368="","",N368*0.25)</f>
        <v/>
      </c>
      <c r="P368" s="50">
        <f>IF(A368="","",N368-O368)</f>
        <v/>
      </c>
      <c r="Q368" s="50">
        <f>IF(A368="","",ROUND(B368*0.4+C368*0.1+D368*0.1+E368*0.1+IF(G368="Yes",5000,0)*0.1+F368*500*0.1+IF(H368="Yes",5000,0)*0.1,0))</f>
        <v/>
      </c>
      <c r="R368" s="46">
        <f>IF(A368="","",ROUND(Q368/1000,1))</f>
        <v/>
      </c>
      <c r="S368" s="46">
        <f>IF(A368="","",RANK(R368,$R$2:$R$500,0))</f>
        <v/>
      </c>
    </row>
    <row r="369" ht="22" customHeight="1">
      <c r="A369" s="48" t="n"/>
      <c r="B369" s="51" t="n"/>
      <c r="C369" s="51" t="n"/>
      <c r="D369" s="51" t="n"/>
      <c r="E369" s="51" t="n"/>
      <c r="F369" s="48" t="n"/>
      <c r="G369" s="48" t="n"/>
      <c r="H369" s="48" t="n"/>
      <c r="I369" s="51" t="n"/>
      <c r="J369" s="51" t="n"/>
      <c r="K369" s="51">
        <f>IF(A369="","",B369+C369)</f>
        <v/>
      </c>
      <c r="L369" s="51">
        <f>IF(A369="","",K369/12)</f>
        <v/>
      </c>
      <c r="M369" s="51">
        <f>IF(A369="","",K369/2080)</f>
        <v/>
      </c>
      <c r="N369" s="51">
        <f>IF(A369="","",B369+C369+D369+E369+I369+J369)</f>
        <v/>
      </c>
      <c r="O369" s="51">
        <f>IF(A369="","",N369*0.25)</f>
        <v/>
      </c>
      <c r="P369" s="51">
        <f>IF(A369="","",N369-O369)</f>
        <v/>
      </c>
      <c r="Q369" s="51">
        <f>IF(A369="","",ROUND(B369*0.4+C369*0.1+D369*0.1+E369*0.1+IF(G369="Yes",5000,0)*0.1+F369*500*0.1+IF(H369="Yes",5000,0)*0.1,0))</f>
        <v/>
      </c>
      <c r="R369" s="48">
        <f>IF(A369="","",ROUND(Q369/1000,1))</f>
        <v/>
      </c>
      <c r="S369" s="48">
        <f>IF(A369="","",RANK(R369,$R$2:$R$500,0))</f>
        <v/>
      </c>
    </row>
    <row r="370" ht="22" customHeight="1">
      <c r="A370" s="46" t="n"/>
      <c r="B370" s="50" t="n"/>
      <c r="C370" s="50" t="n"/>
      <c r="D370" s="50" t="n"/>
      <c r="E370" s="50" t="n"/>
      <c r="F370" s="46" t="n"/>
      <c r="G370" s="46" t="n"/>
      <c r="H370" s="46" t="n"/>
      <c r="I370" s="50" t="n"/>
      <c r="J370" s="50" t="n"/>
      <c r="K370" s="50">
        <f>IF(A370="","",B370+C370)</f>
        <v/>
      </c>
      <c r="L370" s="50">
        <f>IF(A370="","",K370/12)</f>
        <v/>
      </c>
      <c r="M370" s="50">
        <f>IF(A370="","",K370/2080)</f>
        <v/>
      </c>
      <c r="N370" s="50">
        <f>IF(A370="","",B370+C370+D370+E370+I370+J370)</f>
        <v/>
      </c>
      <c r="O370" s="50">
        <f>IF(A370="","",N370*0.25)</f>
        <v/>
      </c>
      <c r="P370" s="50">
        <f>IF(A370="","",N370-O370)</f>
        <v/>
      </c>
      <c r="Q370" s="50">
        <f>IF(A370="","",ROUND(B370*0.4+C370*0.1+D370*0.1+E370*0.1+IF(G370="Yes",5000,0)*0.1+F370*500*0.1+IF(H370="Yes",5000,0)*0.1,0))</f>
        <v/>
      </c>
      <c r="R370" s="46">
        <f>IF(A370="","",ROUND(Q370/1000,1))</f>
        <v/>
      </c>
      <c r="S370" s="46">
        <f>IF(A370="","",RANK(R370,$R$2:$R$500,0))</f>
        <v/>
      </c>
    </row>
    <row r="371" ht="22" customHeight="1">
      <c r="A371" s="48" t="n"/>
      <c r="B371" s="51" t="n"/>
      <c r="C371" s="51" t="n"/>
      <c r="D371" s="51" t="n"/>
      <c r="E371" s="51" t="n"/>
      <c r="F371" s="48" t="n"/>
      <c r="G371" s="48" t="n"/>
      <c r="H371" s="48" t="n"/>
      <c r="I371" s="51" t="n"/>
      <c r="J371" s="51" t="n"/>
      <c r="K371" s="51">
        <f>IF(A371="","",B371+C371)</f>
        <v/>
      </c>
      <c r="L371" s="51">
        <f>IF(A371="","",K371/12)</f>
        <v/>
      </c>
      <c r="M371" s="51">
        <f>IF(A371="","",K371/2080)</f>
        <v/>
      </c>
      <c r="N371" s="51">
        <f>IF(A371="","",B371+C371+D371+E371+I371+J371)</f>
        <v/>
      </c>
      <c r="O371" s="51">
        <f>IF(A371="","",N371*0.25)</f>
        <v/>
      </c>
      <c r="P371" s="51">
        <f>IF(A371="","",N371-O371)</f>
        <v/>
      </c>
      <c r="Q371" s="51">
        <f>IF(A371="","",ROUND(B371*0.4+C371*0.1+D371*0.1+E371*0.1+IF(G371="Yes",5000,0)*0.1+F371*500*0.1+IF(H371="Yes",5000,0)*0.1,0))</f>
        <v/>
      </c>
      <c r="R371" s="48">
        <f>IF(A371="","",ROUND(Q371/1000,1))</f>
        <v/>
      </c>
      <c r="S371" s="48">
        <f>IF(A371="","",RANK(R371,$R$2:$R$500,0))</f>
        <v/>
      </c>
    </row>
    <row r="372" ht="22" customHeight="1">
      <c r="A372" s="46" t="n"/>
      <c r="B372" s="50" t="n"/>
      <c r="C372" s="50" t="n"/>
      <c r="D372" s="50" t="n"/>
      <c r="E372" s="50" t="n"/>
      <c r="F372" s="46" t="n"/>
      <c r="G372" s="46" t="n"/>
      <c r="H372" s="46" t="n"/>
      <c r="I372" s="50" t="n"/>
      <c r="J372" s="50" t="n"/>
      <c r="K372" s="50">
        <f>IF(A372="","",B372+C372)</f>
        <v/>
      </c>
      <c r="L372" s="50">
        <f>IF(A372="","",K372/12)</f>
        <v/>
      </c>
      <c r="M372" s="50">
        <f>IF(A372="","",K372/2080)</f>
        <v/>
      </c>
      <c r="N372" s="50">
        <f>IF(A372="","",B372+C372+D372+E372+I372+J372)</f>
        <v/>
      </c>
      <c r="O372" s="50">
        <f>IF(A372="","",N372*0.25)</f>
        <v/>
      </c>
      <c r="P372" s="50">
        <f>IF(A372="","",N372-O372)</f>
        <v/>
      </c>
      <c r="Q372" s="50">
        <f>IF(A372="","",ROUND(B372*0.4+C372*0.1+D372*0.1+E372*0.1+IF(G372="Yes",5000,0)*0.1+F372*500*0.1+IF(H372="Yes",5000,0)*0.1,0))</f>
        <v/>
      </c>
      <c r="R372" s="46">
        <f>IF(A372="","",ROUND(Q372/1000,1))</f>
        <v/>
      </c>
      <c r="S372" s="46">
        <f>IF(A372="","",RANK(R372,$R$2:$R$500,0))</f>
        <v/>
      </c>
    </row>
    <row r="373" ht="22" customHeight="1">
      <c r="A373" s="48" t="n"/>
      <c r="B373" s="51" t="n"/>
      <c r="C373" s="51" t="n"/>
      <c r="D373" s="51" t="n"/>
      <c r="E373" s="51" t="n"/>
      <c r="F373" s="48" t="n"/>
      <c r="G373" s="48" t="n"/>
      <c r="H373" s="48" t="n"/>
      <c r="I373" s="51" t="n"/>
      <c r="J373" s="51" t="n"/>
      <c r="K373" s="51">
        <f>IF(A373="","",B373+C373)</f>
        <v/>
      </c>
      <c r="L373" s="51">
        <f>IF(A373="","",K373/12)</f>
        <v/>
      </c>
      <c r="M373" s="51">
        <f>IF(A373="","",K373/2080)</f>
        <v/>
      </c>
      <c r="N373" s="51">
        <f>IF(A373="","",B373+C373+D373+E373+I373+J373)</f>
        <v/>
      </c>
      <c r="O373" s="51">
        <f>IF(A373="","",N373*0.25)</f>
        <v/>
      </c>
      <c r="P373" s="51">
        <f>IF(A373="","",N373-O373)</f>
        <v/>
      </c>
      <c r="Q373" s="51">
        <f>IF(A373="","",ROUND(B373*0.4+C373*0.1+D373*0.1+E373*0.1+IF(G373="Yes",5000,0)*0.1+F373*500*0.1+IF(H373="Yes",5000,0)*0.1,0))</f>
        <v/>
      </c>
      <c r="R373" s="48">
        <f>IF(A373="","",ROUND(Q373/1000,1))</f>
        <v/>
      </c>
      <c r="S373" s="48">
        <f>IF(A373="","",RANK(R373,$R$2:$R$500,0))</f>
        <v/>
      </c>
    </row>
    <row r="374" ht="22" customHeight="1">
      <c r="A374" s="46" t="n"/>
      <c r="B374" s="50" t="n"/>
      <c r="C374" s="50" t="n"/>
      <c r="D374" s="50" t="n"/>
      <c r="E374" s="50" t="n"/>
      <c r="F374" s="46" t="n"/>
      <c r="G374" s="46" t="n"/>
      <c r="H374" s="46" t="n"/>
      <c r="I374" s="50" t="n"/>
      <c r="J374" s="50" t="n"/>
      <c r="K374" s="50">
        <f>IF(A374="","",B374+C374)</f>
        <v/>
      </c>
      <c r="L374" s="50">
        <f>IF(A374="","",K374/12)</f>
        <v/>
      </c>
      <c r="M374" s="50">
        <f>IF(A374="","",K374/2080)</f>
        <v/>
      </c>
      <c r="N374" s="50">
        <f>IF(A374="","",B374+C374+D374+E374+I374+J374)</f>
        <v/>
      </c>
      <c r="O374" s="50">
        <f>IF(A374="","",N374*0.25)</f>
        <v/>
      </c>
      <c r="P374" s="50">
        <f>IF(A374="","",N374-O374)</f>
        <v/>
      </c>
      <c r="Q374" s="50">
        <f>IF(A374="","",ROUND(B374*0.4+C374*0.1+D374*0.1+E374*0.1+IF(G374="Yes",5000,0)*0.1+F374*500*0.1+IF(H374="Yes",5000,0)*0.1,0))</f>
        <v/>
      </c>
      <c r="R374" s="46">
        <f>IF(A374="","",ROUND(Q374/1000,1))</f>
        <v/>
      </c>
      <c r="S374" s="46">
        <f>IF(A374="","",RANK(R374,$R$2:$R$500,0))</f>
        <v/>
      </c>
    </row>
    <row r="375" ht="22" customHeight="1">
      <c r="A375" s="48" t="n"/>
      <c r="B375" s="51" t="n"/>
      <c r="C375" s="51" t="n"/>
      <c r="D375" s="51" t="n"/>
      <c r="E375" s="51" t="n"/>
      <c r="F375" s="48" t="n"/>
      <c r="G375" s="48" t="n"/>
      <c r="H375" s="48" t="n"/>
      <c r="I375" s="51" t="n"/>
      <c r="J375" s="51" t="n"/>
      <c r="K375" s="51">
        <f>IF(A375="","",B375+C375)</f>
        <v/>
      </c>
      <c r="L375" s="51">
        <f>IF(A375="","",K375/12)</f>
        <v/>
      </c>
      <c r="M375" s="51">
        <f>IF(A375="","",K375/2080)</f>
        <v/>
      </c>
      <c r="N375" s="51">
        <f>IF(A375="","",B375+C375+D375+E375+I375+J375)</f>
        <v/>
      </c>
      <c r="O375" s="51">
        <f>IF(A375="","",N375*0.25)</f>
        <v/>
      </c>
      <c r="P375" s="51">
        <f>IF(A375="","",N375-O375)</f>
        <v/>
      </c>
      <c r="Q375" s="51">
        <f>IF(A375="","",ROUND(B375*0.4+C375*0.1+D375*0.1+E375*0.1+IF(G375="Yes",5000,0)*0.1+F375*500*0.1+IF(H375="Yes",5000,0)*0.1,0))</f>
        <v/>
      </c>
      <c r="R375" s="48">
        <f>IF(A375="","",ROUND(Q375/1000,1))</f>
        <v/>
      </c>
      <c r="S375" s="48">
        <f>IF(A375="","",RANK(R375,$R$2:$R$500,0))</f>
        <v/>
      </c>
    </row>
    <row r="376" ht="22" customHeight="1">
      <c r="A376" s="46" t="n"/>
      <c r="B376" s="50" t="n"/>
      <c r="C376" s="50" t="n"/>
      <c r="D376" s="50" t="n"/>
      <c r="E376" s="50" t="n"/>
      <c r="F376" s="46" t="n"/>
      <c r="G376" s="46" t="n"/>
      <c r="H376" s="46" t="n"/>
      <c r="I376" s="50" t="n"/>
      <c r="J376" s="50" t="n"/>
      <c r="K376" s="50">
        <f>IF(A376="","",B376+C376)</f>
        <v/>
      </c>
      <c r="L376" s="50">
        <f>IF(A376="","",K376/12)</f>
        <v/>
      </c>
      <c r="M376" s="50">
        <f>IF(A376="","",K376/2080)</f>
        <v/>
      </c>
      <c r="N376" s="50">
        <f>IF(A376="","",B376+C376+D376+E376+I376+J376)</f>
        <v/>
      </c>
      <c r="O376" s="50">
        <f>IF(A376="","",N376*0.25)</f>
        <v/>
      </c>
      <c r="P376" s="50">
        <f>IF(A376="","",N376-O376)</f>
        <v/>
      </c>
      <c r="Q376" s="50">
        <f>IF(A376="","",ROUND(B376*0.4+C376*0.1+D376*0.1+E376*0.1+IF(G376="Yes",5000,0)*0.1+F376*500*0.1+IF(H376="Yes",5000,0)*0.1,0))</f>
        <v/>
      </c>
      <c r="R376" s="46">
        <f>IF(A376="","",ROUND(Q376/1000,1))</f>
        <v/>
      </c>
      <c r="S376" s="46">
        <f>IF(A376="","",RANK(R376,$R$2:$R$500,0))</f>
        <v/>
      </c>
    </row>
    <row r="377" ht="22" customHeight="1">
      <c r="A377" s="48" t="n"/>
      <c r="B377" s="51" t="n"/>
      <c r="C377" s="51" t="n"/>
      <c r="D377" s="51" t="n"/>
      <c r="E377" s="51" t="n"/>
      <c r="F377" s="48" t="n"/>
      <c r="G377" s="48" t="n"/>
      <c r="H377" s="48" t="n"/>
      <c r="I377" s="51" t="n"/>
      <c r="J377" s="51" t="n"/>
      <c r="K377" s="51">
        <f>IF(A377="","",B377+C377)</f>
        <v/>
      </c>
      <c r="L377" s="51">
        <f>IF(A377="","",K377/12)</f>
        <v/>
      </c>
      <c r="M377" s="51">
        <f>IF(A377="","",K377/2080)</f>
        <v/>
      </c>
      <c r="N377" s="51">
        <f>IF(A377="","",B377+C377+D377+E377+I377+J377)</f>
        <v/>
      </c>
      <c r="O377" s="51">
        <f>IF(A377="","",N377*0.25)</f>
        <v/>
      </c>
      <c r="P377" s="51">
        <f>IF(A377="","",N377-O377)</f>
        <v/>
      </c>
      <c r="Q377" s="51">
        <f>IF(A377="","",ROUND(B377*0.4+C377*0.1+D377*0.1+E377*0.1+IF(G377="Yes",5000,0)*0.1+F377*500*0.1+IF(H377="Yes",5000,0)*0.1,0))</f>
        <v/>
      </c>
      <c r="R377" s="48">
        <f>IF(A377="","",ROUND(Q377/1000,1))</f>
        <v/>
      </c>
      <c r="S377" s="48">
        <f>IF(A377="","",RANK(R377,$R$2:$R$500,0))</f>
        <v/>
      </c>
    </row>
    <row r="378" ht="22" customHeight="1">
      <c r="A378" s="46" t="n"/>
      <c r="B378" s="50" t="n"/>
      <c r="C378" s="50" t="n"/>
      <c r="D378" s="50" t="n"/>
      <c r="E378" s="50" t="n"/>
      <c r="F378" s="46" t="n"/>
      <c r="G378" s="46" t="n"/>
      <c r="H378" s="46" t="n"/>
      <c r="I378" s="50" t="n"/>
      <c r="J378" s="50" t="n"/>
      <c r="K378" s="50">
        <f>IF(A378="","",B378+C378)</f>
        <v/>
      </c>
      <c r="L378" s="50">
        <f>IF(A378="","",K378/12)</f>
        <v/>
      </c>
      <c r="M378" s="50">
        <f>IF(A378="","",K378/2080)</f>
        <v/>
      </c>
      <c r="N378" s="50">
        <f>IF(A378="","",B378+C378+D378+E378+I378+J378)</f>
        <v/>
      </c>
      <c r="O378" s="50">
        <f>IF(A378="","",N378*0.25)</f>
        <v/>
      </c>
      <c r="P378" s="50">
        <f>IF(A378="","",N378-O378)</f>
        <v/>
      </c>
      <c r="Q378" s="50">
        <f>IF(A378="","",ROUND(B378*0.4+C378*0.1+D378*0.1+E378*0.1+IF(G378="Yes",5000,0)*0.1+F378*500*0.1+IF(H378="Yes",5000,0)*0.1,0))</f>
        <v/>
      </c>
      <c r="R378" s="46">
        <f>IF(A378="","",ROUND(Q378/1000,1))</f>
        <v/>
      </c>
      <c r="S378" s="46">
        <f>IF(A378="","",RANK(R378,$R$2:$R$500,0))</f>
        <v/>
      </c>
    </row>
    <row r="379" ht="22" customHeight="1">
      <c r="A379" s="48" t="n"/>
      <c r="B379" s="51" t="n"/>
      <c r="C379" s="51" t="n"/>
      <c r="D379" s="51" t="n"/>
      <c r="E379" s="51" t="n"/>
      <c r="F379" s="48" t="n"/>
      <c r="G379" s="48" t="n"/>
      <c r="H379" s="48" t="n"/>
      <c r="I379" s="51" t="n"/>
      <c r="J379" s="51" t="n"/>
      <c r="K379" s="51">
        <f>IF(A379="","",B379+C379)</f>
        <v/>
      </c>
      <c r="L379" s="51">
        <f>IF(A379="","",K379/12)</f>
        <v/>
      </c>
      <c r="M379" s="51">
        <f>IF(A379="","",K379/2080)</f>
        <v/>
      </c>
      <c r="N379" s="51">
        <f>IF(A379="","",B379+C379+D379+E379+I379+J379)</f>
        <v/>
      </c>
      <c r="O379" s="51">
        <f>IF(A379="","",N379*0.25)</f>
        <v/>
      </c>
      <c r="P379" s="51">
        <f>IF(A379="","",N379-O379)</f>
        <v/>
      </c>
      <c r="Q379" s="51">
        <f>IF(A379="","",ROUND(B379*0.4+C379*0.1+D379*0.1+E379*0.1+IF(G379="Yes",5000,0)*0.1+F379*500*0.1+IF(H379="Yes",5000,0)*0.1,0))</f>
        <v/>
      </c>
      <c r="R379" s="48">
        <f>IF(A379="","",ROUND(Q379/1000,1))</f>
        <v/>
      </c>
      <c r="S379" s="48">
        <f>IF(A379="","",RANK(R379,$R$2:$R$500,0))</f>
        <v/>
      </c>
    </row>
    <row r="380" ht="22" customHeight="1">
      <c r="A380" s="46" t="n"/>
      <c r="B380" s="50" t="n"/>
      <c r="C380" s="50" t="n"/>
      <c r="D380" s="50" t="n"/>
      <c r="E380" s="50" t="n"/>
      <c r="F380" s="46" t="n"/>
      <c r="G380" s="46" t="n"/>
      <c r="H380" s="46" t="n"/>
      <c r="I380" s="50" t="n"/>
      <c r="J380" s="50" t="n"/>
      <c r="K380" s="50">
        <f>IF(A380="","",B380+C380)</f>
        <v/>
      </c>
      <c r="L380" s="50">
        <f>IF(A380="","",K380/12)</f>
        <v/>
      </c>
      <c r="M380" s="50">
        <f>IF(A380="","",K380/2080)</f>
        <v/>
      </c>
      <c r="N380" s="50">
        <f>IF(A380="","",B380+C380+D380+E380+I380+J380)</f>
        <v/>
      </c>
      <c r="O380" s="50">
        <f>IF(A380="","",N380*0.25)</f>
        <v/>
      </c>
      <c r="P380" s="50">
        <f>IF(A380="","",N380-O380)</f>
        <v/>
      </c>
      <c r="Q380" s="50">
        <f>IF(A380="","",ROUND(B380*0.4+C380*0.1+D380*0.1+E380*0.1+IF(G380="Yes",5000,0)*0.1+F380*500*0.1+IF(H380="Yes",5000,0)*0.1,0))</f>
        <v/>
      </c>
      <c r="R380" s="46">
        <f>IF(A380="","",ROUND(Q380/1000,1))</f>
        <v/>
      </c>
      <c r="S380" s="46">
        <f>IF(A380="","",RANK(R380,$R$2:$R$500,0))</f>
        <v/>
      </c>
    </row>
    <row r="381" ht="22" customHeight="1">
      <c r="A381" s="48" t="n"/>
      <c r="B381" s="51" t="n"/>
      <c r="C381" s="51" t="n"/>
      <c r="D381" s="51" t="n"/>
      <c r="E381" s="51" t="n"/>
      <c r="F381" s="48" t="n"/>
      <c r="G381" s="48" t="n"/>
      <c r="H381" s="48" t="n"/>
      <c r="I381" s="51" t="n"/>
      <c r="J381" s="51" t="n"/>
      <c r="K381" s="51">
        <f>IF(A381="","",B381+C381)</f>
        <v/>
      </c>
      <c r="L381" s="51">
        <f>IF(A381="","",K381/12)</f>
        <v/>
      </c>
      <c r="M381" s="51">
        <f>IF(A381="","",K381/2080)</f>
        <v/>
      </c>
      <c r="N381" s="51">
        <f>IF(A381="","",B381+C381+D381+E381+I381+J381)</f>
        <v/>
      </c>
      <c r="O381" s="51">
        <f>IF(A381="","",N381*0.25)</f>
        <v/>
      </c>
      <c r="P381" s="51">
        <f>IF(A381="","",N381-O381)</f>
        <v/>
      </c>
      <c r="Q381" s="51">
        <f>IF(A381="","",ROUND(B381*0.4+C381*0.1+D381*0.1+E381*0.1+IF(G381="Yes",5000,0)*0.1+F381*500*0.1+IF(H381="Yes",5000,0)*0.1,0))</f>
        <v/>
      </c>
      <c r="R381" s="48">
        <f>IF(A381="","",ROUND(Q381/1000,1))</f>
        <v/>
      </c>
      <c r="S381" s="48">
        <f>IF(A381="","",RANK(R381,$R$2:$R$500,0))</f>
        <v/>
      </c>
    </row>
    <row r="382" ht="22" customHeight="1">
      <c r="A382" s="46" t="n"/>
      <c r="B382" s="50" t="n"/>
      <c r="C382" s="50" t="n"/>
      <c r="D382" s="50" t="n"/>
      <c r="E382" s="50" t="n"/>
      <c r="F382" s="46" t="n"/>
      <c r="G382" s="46" t="n"/>
      <c r="H382" s="46" t="n"/>
      <c r="I382" s="50" t="n"/>
      <c r="J382" s="50" t="n"/>
      <c r="K382" s="50">
        <f>IF(A382="","",B382+C382)</f>
        <v/>
      </c>
      <c r="L382" s="50">
        <f>IF(A382="","",K382/12)</f>
        <v/>
      </c>
      <c r="M382" s="50">
        <f>IF(A382="","",K382/2080)</f>
        <v/>
      </c>
      <c r="N382" s="50">
        <f>IF(A382="","",B382+C382+D382+E382+I382+J382)</f>
        <v/>
      </c>
      <c r="O382" s="50">
        <f>IF(A382="","",N382*0.25)</f>
        <v/>
      </c>
      <c r="P382" s="50">
        <f>IF(A382="","",N382-O382)</f>
        <v/>
      </c>
      <c r="Q382" s="50">
        <f>IF(A382="","",ROUND(B382*0.4+C382*0.1+D382*0.1+E382*0.1+IF(G382="Yes",5000,0)*0.1+F382*500*0.1+IF(H382="Yes",5000,0)*0.1,0))</f>
        <v/>
      </c>
      <c r="R382" s="46">
        <f>IF(A382="","",ROUND(Q382/1000,1))</f>
        <v/>
      </c>
      <c r="S382" s="46">
        <f>IF(A382="","",RANK(R382,$R$2:$R$500,0))</f>
        <v/>
      </c>
    </row>
    <row r="383" ht="22" customHeight="1">
      <c r="A383" s="48" t="n"/>
      <c r="B383" s="51" t="n"/>
      <c r="C383" s="51" t="n"/>
      <c r="D383" s="51" t="n"/>
      <c r="E383" s="51" t="n"/>
      <c r="F383" s="48" t="n"/>
      <c r="G383" s="48" t="n"/>
      <c r="H383" s="48" t="n"/>
      <c r="I383" s="51" t="n"/>
      <c r="J383" s="51" t="n"/>
      <c r="K383" s="51">
        <f>IF(A383="","",B383+C383)</f>
        <v/>
      </c>
      <c r="L383" s="51">
        <f>IF(A383="","",K383/12)</f>
        <v/>
      </c>
      <c r="M383" s="51">
        <f>IF(A383="","",K383/2080)</f>
        <v/>
      </c>
      <c r="N383" s="51">
        <f>IF(A383="","",B383+C383+D383+E383+I383+J383)</f>
        <v/>
      </c>
      <c r="O383" s="51">
        <f>IF(A383="","",N383*0.25)</f>
        <v/>
      </c>
      <c r="P383" s="51">
        <f>IF(A383="","",N383-O383)</f>
        <v/>
      </c>
      <c r="Q383" s="51">
        <f>IF(A383="","",ROUND(B383*0.4+C383*0.1+D383*0.1+E383*0.1+IF(G383="Yes",5000,0)*0.1+F383*500*0.1+IF(H383="Yes",5000,0)*0.1,0))</f>
        <v/>
      </c>
      <c r="R383" s="48">
        <f>IF(A383="","",ROUND(Q383/1000,1))</f>
        <v/>
      </c>
      <c r="S383" s="48">
        <f>IF(A383="","",RANK(R383,$R$2:$R$500,0))</f>
        <v/>
      </c>
    </row>
    <row r="384" ht="22" customHeight="1">
      <c r="A384" s="46" t="n"/>
      <c r="B384" s="50" t="n"/>
      <c r="C384" s="50" t="n"/>
      <c r="D384" s="50" t="n"/>
      <c r="E384" s="50" t="n"/>
      <c r="F384" s="46" t="n"/>
      <c r="G384" s="46" t="n"/>
      <c r="H384" s="46" t="n"/>
      <c r="I384" s="50" t="n"/>
      <c r="J384" s="50" t="n"/>
      <c r="K384" s="50">
        <f>IF(A384="","",B384+C384)</f>
        <v/>
      </c>
      <c r="L384" s="50">
        <f>IF(A384="","",K384/12)</f>
        <v/>
      </c>
      <c r="M384" s="50">
        <f>IF(A384="","",K384/2080)</f>
        <v/>
      </c>
      <c r="N384" s="50">
        <f>IF(A384="","",B384+C384+D384+E384+I384+J384)</f>
        <v/>
      </c>
      <c r="O384" s="50">
        <f>IF(A384="","",N384*0.25)</f>
        <v/>
      </c>
      <c r="P384" s="50">
        <f>IF(A384="","",N384-O384)</f>
        <v/>
      </c>
      <c r="Q384" s="50">
        <f>IF(A384="","",ROUND(B384*0.4+C384*0.1+D384*0.1+E384*0.1+IF(G384="Yes",5000,0)*0.1+F384*500*0.1+IF(H384="Yes",5000,0)*0.1,0))</f>
        <v/>
      </c>
      <c r="R384" s="46">
        <f>IF(A384="","",ROUND(Q384/1000,1))</f>
        <v/>
      </c>
      <c r="S384" s="46">
        <f>IF(A384="","",RANK(R384,$R$2:$R$500,0))</f>
        <v/>
      </c>
    </row>
    <row r="385" ht="22" customHeight="1">
      <c r="A385" s="48" t="n"/>
      <c r="B385" s="51" t="n"/>
      <c r="C385" s="51" t="n"/>
      <c r="D385" s="51" t="n"/>
      <c r="E385" s="51" t="n"/>
      <c r="F385" s="48" t="n"/>
      <c r="G385" s="48" t="n"/>
      <c r="H385" s="48" t="n"/>
      <c r="I385" s="51" t="n"/>
      <c r="J385" s="51" t="n"/>
      <c r="K385" s="51">
        <f>IF(A385="","",B385+C385)</f>
        <v/>
      </c>
      <c r="L385" s="51">
        <f>IF(A385="","",K385/12)</f>
        <v/>
      </c>
      <c r="M385" s="51">
        <f>IF(A385="","",K385/2080)</f>
        <v/>
      </c>
      <c r="N385" s="51">
        <f>IF(A385="","",B385+C385+D385+E385+I385+J385)</f>
        <v/>
      </c>
      <c r="O385" s="51">
        <f>IF(A385="","",N385*0.25)</f>
        <v/>
      </c>
      <c r="P385" s="51">
        <f>IF(A385="","",N385-O385)</f>
        <v/>
      </c>
      <c r="Q385" s="51">
        <f>IF(A385="","",ROUND(B385*0.4+C385*0.1+D385*0.1+E385*0.1+IF(G385="Yes",5000,0)*0.1+F385*500*0.1+IF(H385="Yes",5000,0)*0.1,0))</f>
        <v/>
      </c>
      <c r="R385" s="48">
        <f>IF(A385="","",ROUND(Q385/1000,1))</f>
        <v/>
      </c>
      <c r="S385" s="48">
        <f>IF(A385="","",RANK(R385,$R$2:$R$500,0))</f>
        <v/>
      </c>
    </row>
    <row r="386" ht="22" customHeight="1">
      <c r="A386" s="46" t="n"/>
      <c r="B386" s="50" t="n"/>
      <c r="C386" s="50" t="n"/>
      <c r="D386" s="50" t="n"/>
      <c r="E386" s="50" t="n"/>
      <c r="F386" s="46" t="n"/>
      <c r="G386" s="46" t="n"/>
      <c r="H386" s="46" t="n"/>
      <c r="I386" s="50" t="n"/>
      <c r="J386" s="50" t="n"/>
      <c r="K386" s="50">
        <f>IF(A386="","",B386+C386)</f>
        <v/>
      </c>
      <c r="L386" s="50">
        <f>IF(A386="","",K386/12)</f>
        <v/>
      </c>
      <c r="M386" s="50">
        <f>IF(A386="","",K386/2080)</f>
        <v/>
      </c>
      <c r="N386" s="50">
        <f>IF(A386="","",B386+C386+D386+E386+I386+J386)</f>
        <v/>
      </c>
      <c r="O386" s="50">
        <f>IF(A386="","",N386*0.25)</f>
        <v/>
      </c>
      <c r="P386" s="50">
        <f>IF(A386="","",N386-O386)</f>
        <v/>
      </c>
      <c r="Q386" s="50">
        <f>IF(A386="","",ROUND(B386*0.4+C386*0.1+D386*0.1+E386*0.1+IF(G386="Yes",5000,0)*0.1+F386*500*0.1+IF(H386="Yes",5000,0)*0.1,0))</f>
        <v/>
      </c>
      <c r="R386" s="46">
        <f>IF(A386="","",ROUND(Q386/1000,1))</f>
        <v/>
      </c>
      <c r="S386" s="46">
        <f>IF(A386="","",RANK(R386,$R$2:$R$500,0))</f>
        <v/>
      </c>
    </row>
    <row r="387" ht="22" customHeight="1">
      <c r="A387" s="48" t="n"/>
      <c r="B387" s="51" t="n"/>
      <c r="C387" s="51" t="n"/>
      <c r="D387" s="51" t="n"/>
      <c r="E387" s="51" t="n"/>
      <c r="F387" s="48" t="n"/>
      <c r="G387" s="48" t="n"/>
      <c r="H387" s="48" t="n"/>
      <c r="I387" s="51" t="n"/>
      <c r="J387" s="51" t="n"/>
      <c r="K387" s="51">
        <f>IF(A387="","",B387+C387)</f>
        <v/>
      </c>
      <c r="L387" s="51">
        <f>IF(A387="","",K387/12)</f>
        <v/>
      </c>
      <c r="M387" s="51">
        <f>IF(A387="","",K387/2080)</f>
        <v/>
      </c>
      <c r="N387" s="51">
        <f>IF(A387="","",B387+C387+D387+E387+I387+J387)</f>
        <v/>
      </c>
      <c r="O387" s="51">
        <f>IF(A387="","",N387*0.25)</f>
        <v/>
      </c>
      <c r="P387" s="51">
        <f>IF(A387="","",N387-O387)</f>
        <v/>
      </c>
      <c r="Q387" s="51">
        <f>IF(A387="","",ROUND(B387*0.4+C387*0.1+D387*0.1+E387*0.1+IF(G387="Yes",5000,0)*0.1+F387*500*0.1+IF(H387="Yes",5000,0)*0.1,0))</f>
        <v/>
      </c>
      <c r="R387" s="48">
        <f>IF(A387="","",ROUND(Q387/1000,1))</f>
        <v/>
      </c>
      <c r="S387" s="48">
        <f>IF(A387="","",RANK(R387,$R$2:$R$500,0))</f>
        <v/>
      </c>
    </row>
    <row r="388" ht="22" customHeight="1">
      <c r="A388" s="46" t="n"/>
      <c r="B388" s="50" t="n"/>
      <c r="C388" s="50" t="n"/>
      <c r="D388" s="50" t="n"/>
      <c r="E388" s="50" t="n"/>
      <c r="F388" s="46" t="n"/>
      <c r="G388" s="46" t="n"/>
      <c r="H388" s="46" t="n"/>
      <c r="I388" s="50" t="n"/>
      <c r="J388" s="50" t="n"/>
      <c r="K388" s="50">
        <f>IF(A388="","",B388+C388)</f>
        <v/>
      </c>
      <c r="L388" s="50">
        <f>IF(A388="","",K388/12)</f>
        <v/>
      </c>
      <c r="M388" s="50">
        <f>IF(A388="","",K388/2080)</f>
        <v/>
      </c>
      <c r="N388" s="50">
        <f>IF(A388="","",B388+C388+D388+E388+I388+J388)</f>
        <v/>
      </c>
      <c r="O388" s="50">
        <f>IF(A388="","",N388*0.25)</f>
        <v/>
      </c>
      <c r="P388" s="50">
        <f>IF(A388="","",N388-O388)</f>
        <v/>
      </c>
      <c r="Q388" s="50">
        <f>IF(A388="","",ROUND(B388*0.4+C388*0.1+D388*0.1+E388*0.1+IF(G388="Yes",5000,0)*0.1+F388*500*0.1+IF(H388="Yes",5000,0)*0.1,0))</f>
        <v/>
      </c>
      <c r="R388" s="46">
        <f>IF(A388="","",ROUND(Q388/1000,1))</f>
        <v/>
      </c>
      <c r="S388" s="46">
        <f>IF(A388="","",RANK(R388,$R$2:$R$500,0))</f>
        <v/>
      </c>
    </row>
    <row r="389" ht="22" customHeight="1">
      <c r="A389" s="48" t="n"/>
      <c r="B389" s="51" t="n"/>
      <c r="C389" s="51" t="n"/>
      <c r="D389" s="51" t="n"/>
      <c r="E389" s="51" t="n"/>
      <c r="F389" s="48" t="n"/>
      <c r="G389" s="48" t="n"/>
      <c r="H389" s="48" t="n"/>
      <c r="I389" s="51" t="n"/>
      <c r="J389" s="51" t="n"/>
      <c r="K389" s="51">
        <f>IF(A389="","",B389+C389)</f>
        <v/>
      </c>
      <c r="L389" s="51">
        <f>IF(A389="","",K389/12)</f>
        <v/>
      </c>
      <c r="M389" s="51">
        <f>IF(A389="","",K389/2080)</f>
        <v/>
      </c>
      <c r="N389" s="51">
        <f>IF(A389="","",B389+C389+D389+E389+I389+J389)</f>
        <v/>
      </c>
      <c r="O389" s="51">
        <f>IF(A389="","",N389*0.25)</f>
        <v/>
      </c>
      <c r="P389" s="51">
        <f>IF(A389="","",N389-O389)</f>
        <v/>
      </c>
      <c r="Q389" s="51">
        <f>IF(A389="","",ROUND(B389*0.4+C389*0.1+D389*0.1+E389*0.1+IF(G389="Yes",5000,0)*0.1+F389*500*0.1+IF(H389="Yes",5000,0)*0.1,0))</f>
        <v/>
      </c>
      <c r="R389" s="48">
        <f>IF(A389="","",ROUND(Q389/1000,1))</f>
        <v/>
      </c>
      <c r="S389" s="48">
        <f>IF(A389="","",RANK(R389,$R$2:$R$500,0))</f>
        <v/>
      </c>
    </row>
    <row r="390" ht="22" customHeight="1">
      <c r="A390" s="46" t="n"/>
      <c r="B390" s="50" t="n"/>
      <c r="C390" s="50" t="n"/>
      <c r="D390" s="50" t="n"/>
      <c r="E390" s="50" t="n"/>
      <c r="F390" s="46" t="n"/>
      <c r="G390" s="46" t="n"/>
      <c r="H390" s="46" t="n"/>
      <c r="I390" s="50" t="n"/>
      <c r="J390" s="50" t="n"/>
      <c r="K390" s="50">
        <f>IF(A390="","",B390+C390)</f>
        <v/>
      </c>
      <c r="L390" s="50">
        <f>IF(A390="","",K390/12)</f>
        <v/>
      </c>
      <c r="M390" s="50">
        <f>IF(A390="","",K390/2080)</f>
        <v/>
      </c>
      <c r="N390" s="50">
        <f>IF(A390="","",B390+C390+D390+E390+I390+J390)</f>
        <v/>
      </c>
      <c r="O390" s="50">
        <f>IF(A390="","",N390*0.25)</f>
        <v/>
      </c>
      <c r="P390" s="50">
        <f>IF(A390="","",N390-O390)</f>
        <v/>
      </c>
      <c r="Q390" s="50">
        <f>IF(A390="","",ROUND(B390*0.4+C390*0.1+D390*0.1+E390*0.1+IF(G390="Yes",5000,0)*0.1+F390*500*0.1+IF(H390="Yes",5000,0)*0.1,0))</f>
        <v/>
      </c>
      <c r="R390" s="46">
        <f>IF(A390="","",ROUND(Q390/1000,1))</f>
        <v/>
      </c>
      <c r="S390" s="46">
        <f>IF(A390="","",RANK(R390,$R$2:$R$500,0))</f>
        <v/>
      </c>
    </row>
    <row r="391" ht="22" customHeight="1">
      <c r="A391" s="48" t="n"/>
      <c r="B391" s="51" t="n"/>
      <c r="C391" s="51" t="n"/>
      <c r="D391" s="51" t="n"/>
      <c r="E391" s="51" t="n"/>
      <c r="F391" s="48" t="n"/>
      <c r="G391" s="48" t="n"/>
      <c r="H391" s="48" t="n"/>
      <c r="I391" s="51" t="n"/>
      <c r="J391" s="51" t="n"/>
      <c r="K391" s="51">
        <f>IF(A391="","",B391+C391)</f>
        <v/>
      </c>
      <c r="L391" s="51">
        <f>IF(A391="","",K391/12)</f>
        <v/>
      </c>
      <c r="M391" s="51">
        <f>IF(A391="","",K391/2080)</f>
        <v/>
      </c>
      <c r="N391" s="51">
        <f>IF(A391="","",B391+C391+D391+E391+I391+J391)</f>
        <v/>
      </c>
      <c r="O391" s="51">
        <f>IF(A391="","",N391*0.25)</f>
        <v/>
      </c>
      <c r="P391" s="51">
        <f>IF(A391="","",N391-O391)</f>
        <v/>
      </c>
      <c r="Q391" s="51">
        <f>IF(A391="","",ROUND(B391*0.4+C391*0.1+D391*0.1+E391*0.1+IF(G391="Yes",5000,0)*0.1+F391*500*0.1+IF(H391="Yes",5000,0)*0.1,0))</f>
        <v/>
      </c>
      <c r="R391" s="48">
        <f>IF(A391="","",ROUND(Q391/1000,1))</f>
        <v/>
      </c>
      <c r="S391" s="48">
        <f>IF(A391="","",RANK(R391,$R$2:$R$500,0))</f>
        <v/>
      </c>
    </row>
    <row r="392" ht="22" customHeight="1">
      <c r="A392" s="46" t="n"/>
      <c r="B392" s="50" t="n"/>
      <c r="C392" s="50" t="n"/>
      <c r="D392" s="50" t="n"/>
      <c r="E392" s="50" t="n"/>
      <c r="F392" s="46" t="n"/>
      <c r="G392" s="46" t="n"/>
      <c r="H392" s="46" t="n"/>
      <c r="I392" s="50" t="n"/>
      <c r="J392" s="50" t="n"/>
      <c r="K392" s="50">
        <f>IF(A392="","",B392+C392)</f>
        <v/>
      </c>
      <c r="L392" s="50">
        <f>IF(A392="","",K392/12)</f>
        <v/>
      </c>
      <c r="M392" s="50">
        <f>IF(A392="","",K392/2080)</f>
        <v/>
      </c>
      <c r="N392" s="50">
        <f>IF(A392="","",B392+C392+D392+E392+I392+J392)</f>
        <v/>
      </c>
      <c r="O392" s="50">
        <f>IF(A392="","",N392*0.25)</f>
        <v/>
      </c>
      <c r="P392" s="50">
        <f>IF(A392="","",N392-O392)</f>
        <v/>
      </c>
      <c r="Q392" s="50">
        <f>IF(A392="","",ROUND(B392*0.4+C392*0.1+D392*0.1+E392*0.1+IF(G392="Yes",5000,0)*0.1+F392*500*0.1+IF(H392="Yes",5000,0)*0.1,0))</f>
        <v/>
      </c>
      <c r="R392" s="46">
        <f>IF(A392="","",ROUND(Q392/1000,1))</f>
        <v/>
      </c>
      <c r="S392" s="46">
        <f>IF(A392="","",RANK(R392,$R$2:$R$500,0))</f>
        <v/>
      </c>
    </row>
    <row r="393" ht="22" customHeight="1">
      <c r="A393" s="48" t="n"/>
      <c r="B393" s="51" t="n"/>
      <c r="C393" s="51" t="n"/>
      <c r="D393" s="51" t="n"/>
      <c r="E393" s="51" t="n"/>
      <c r="F393" s="48" t="n"/>
      <c r="G393" s="48" t="n"/>
      <c r="H393" s="48" t="n"/>
      <c r="I393" s="51" t="n"/>
      <c r="J393" s="51" t="n"/>
      <c r="K393" s="51">
        <f>IF(A393="","",B393+C393)</f>
        <v/>
      </c>
      <c r="L393" s="51">
        <f>IF(A393="","",K393/12)</f>
        <v/>
      </c>
      <c r="M393" s="51">
        <f>IF(A393="","",K393/2080)</f>
        <v/>
      </c>
      <c r="N393" s="51">
        <f>IF(A393="","",B393+C393+D393+E393+I393+J393)</f>
        <v/>
      </c>
      <c r="O393" s="51">
        <f>IF(A393="","",N393*0.25)</f>
        <v/>
      </c>
      <c r="P393" s="51">
        <f>IF(A393="","",N393-O393)</f>
        <v/>
      </c>
      <c r="Q393" s="51">
        <f>IF(A393="","",ROUND(B393*0.4+C393*0.1+D393*0.1+E393*0.1+IF(G393="Yes",5000,0)*0.1+F393*500*0.1+IF(H393="Yes",5000,0)*0.1,0))</f>
        <v/>
      </c>
      <c r="R393" s="48">
        <f>IF(A393="","",ROUND(Q393/1000,1))</f>
        <v/>
      </c>
      <c r="S393" s="48">
        <f>IF(A393="","",RANK(R393,$R$2:$R$500,0))</f>
        <v/>
      </c>
    </row>
    <row r="394" ht="22" customHeight="1">
      <c r="A394" s="46" t="n"/>
      <c r="B394" s="50" t="n"/>
      <c r="C394" s="50" t="n"/>
      <c r="D394" s="50" t="n"/>
      <c r="E394" s="50" t="n"/>
      <c r="F394" s="46" t="n"/>
      <c r="G394" s="46" t="n"/>
      <c r="H394" s="46" t="n"/>
      <c r="I394" s="50" t="n"/>
      <c r="J394" s="50" t="n"/>
      <c r="K394" s="50">
        <f>IF(A394="","",B394+C394)</f>
        <v/>
      </c>
      <c r="L394" s="50">
        <f>IF(A394="","",K394/12)</f>
        <v/>
      </c>
      <c r="M394" s="50">
        <f>IF(A394="","",K394/2080)</f>
        <v/>
      </c>
      <c r="N394" s="50">
        <f>IF(A394="","",B394+C394+D394+E394+I394+J394)</f>
        <v/>
      </c>
      <c r="O394" s="50">
        <f>IF(A394="","",N394*0.25)</f>
        <v/>
      </c>
      <c r="P394" s="50">
        <f>IF(A394="","",N394-O394)</f>
        <v/>
      </c>
      <c r="Q394" s="50">
        <f>IF(A394="","",ROUND(B394*0.4+C394*0.1+D394*0.1+E394*0.1+IF(G394="Yes",5000,0)*0.1+F394*500*0.1+IF(H394="Yes",5000,0)*0.1,0))</f>
        <v/>
      </c>
      <c r="R394" s="46">
        <f>IF(A394="","",ROUND(Q394/1000,1))</f>
        <v/>
      </c>
      <c r="S394" s="46">
        <f>IF(A394="","",RANK(R394,$R$2:$R$500,0))</f>
        <v/>
      </c>
    </row>
    <row r="395" ht="22" customHeight="1">
      <c r="A395" s="48" t="n"/>
      <c r="B395" s="51" t="n"/>
      <c r="C395" s="51" t="n"/>
      <c r="D395" s="51" t="n"/>
      <c r="E395" s="51" t="n"/>
      <c r="F395" s="48" t="n"/>
      <c r="G395" s="48" t="n"/>
      <c r="H395" s="48" t="n"/>
      <c r="I395" s="51" t="n"/>
      <c r="J395" s="51" t="n"/>
      <c r="K395" s="51">
        <f>IF(A395="","",B395+C395)</f>
        <v/>
      </c>
      <c r="L395" s="51">
        <f>IF(A395="","",K395/12)</f>
        <v/>
      </c>
      <c r="M395" s="51">
        <f>IF(A395="","",K395/2080)</f>
        <v/>
      </c>
      <c r="N395" s="51">
        <f>IF(A395="","",B395+C395+D395+E395+I395+J395)</f>
        <v/>
      </c>
      <c r="O395" s="51">
        <f>IF(A395="","",N395*0.25)</f>
        <v/>
      </c>
      <c r="P395" s="51">
        <f>IF(A395="","",N395-O395)</f>
        <v/>
      </c>
      <c r="Q395" s="51">
        <f>IF(A395="","",ROUND(B395*0.4+C395*0.1+D395*0.1+E395*0.1+IF(G395="Yes",5000,0)*0.1+F395*500*0.1+IF(H395="Yes",5000,0)*0.1,0))</f>
        <v/>
      </c>
      <c r="R395" s="48">
        <f>IF(A395="","",ROUND(Q395/1000,1))</f>
        <v/>
      </c>
      <c r="S395" s="48">
        <f>IF(A395="","",RANK(R395,$R$2:$R$500,0))</f>
        <v/>
      </c>
    </row>
    <row r="396" ht="22" customHeight="1">
      <c r="A396" s="46" t="n"/>
      <c r="B396" s="50" t="n"/>
      <c r="C396" s="50" t="n"/>
      <c r="D396" s="50" t="n"/>
      <c r="E396" s="50" t="n"/>
      <c r="F396" s="46" t="n"/>
      <c r="G396" s="46" t="n"/>
      <c r="H396" s="46" t="n"/>
      <c r="I396" s="50" t="n"/>
      <c r="J396" s="50" t="n"/>
      <c r="K396" s="50">
        <f>IF(A396="","",B396+C396)</f>
        <v/>
      </c>
      <c r="L396" s="50">
        <f>IF(A396="","",K396/12)</f>
        <v/>
      </c>
      <c r="M396" s="50">
        <f>IF(A396="","",K396/2080)</f>
        <v/>
      </c>
      <c r="N396" s="50">
        <f>IF(A396="","",B396+C396+D396+E396+I396+J396)</f>
        <v/>
      </c>
      <c r="O396" s="50">
        <f>IF(A396="","",N396*0.25)</f>
        <v/>
      </c>
      <c r="P396" s="50">
        <f>IF(A396="","",N396-O396)</f>
        <v/>
      </c>
      <c r="Q396" s="50">
        <f>IF(A396="","",ROUND(B396*0.4+C396*0.1+D396*0.1+E396*0.1+IF(G396="Yes",5000,0)*0.1+F396*500*0.1+IF(H396="Yes",5000,0)*0.1,0))</f>
        <v/>
      </c>
      <c r="R396" s="46">
        <f>IF(A396="","",ROUND(Q396/1000,1))</f>
        <v/>
      </c>
      <c r="S396" s="46">
        <f>IF(A396="","",RANK(R396,$R$2:$R$500,0))</f>
        <v/>
      </c>
    </row>
    <row r="397" ht="22" customHeight="1">
      <c r="A397" s="48" t="n"/>
      <c r="B397" s="51" t="n"/>
      <c r="C397" s="51" t="n"/>
      <c r="D397" s="51" t="n"/>
      <c r="E397" s="51" t="n"/>
      <c r="F397" s="48" t="n"/>
      <c r="G397" s="48" t="n"/>
      <c r="H397" s="48" t="n"/>
      <c r="I397" s="51" t="n"/>
      <c r="J397" s="51" t="n"/>
      <c r="K397" s="51">
        <f>IF(A397="","",B397+C397)</f>
        <v/>
      </c>
      <c r="L397" s="51">
        <f>IF(A397="","",K397/12)</f>
        <v/>
      </c>
      <c r="M397" s="51">
        <f>IF(A397="","",K397/2080)</f>
        <v/>
      </c>
      <c r="N397" s="51">
        <f>IF(A397="","",B397+C397+D397+E397+I397+J397)</f>
        <v/>
      </c>
      <c r="O397" s="51">
        <f>IF(A397="","",N397*0.25)</f>
        <v/>
      </c>
      <c r="P397" s="51">
        <f>IF(A397="","",N397-O397)</f>
        <v/>
      </c>
      <c r="Q397" s="51">
        <f>IF(A397="","",ROUND(B397*0.4+C397*0.1+D397*0.1+E397*0.1+IF(G397="Yes",5000,0)*0.1+F397*500*0.1+IF(H397="Yes",5000,0)*0.1,0))</f>
        <v/>
      </c>
      <c r="R397" s="48">
        <f>IF(A397="","",ROUND(Q397/1000,1))</f>
        <v/>
      </c>
      <c r="S397" s="48">
        <f>IF(A397="","",RANK(R397,$R$2:$R$500,0))</f>
        <v/>
      </c>
    </row>
    <row r="398" ht="22" customHeight="1">
      <c r="A398" s="46" t="n"/>
      <c r="B398" s="50" t="n"/>
      <c r="C398" s="50" t="n"/>
      <c r="D398" s="50" t="n"/>
      <c r="E398" s="50" t="n"/>
      <c r="F398" s="46" t="n"/>
      <c r="G398" s="46" t="n"/>
      <c r="H398" s="46" t="n"/>
      <c r="I398" s="50" t="n"/>
      <c r="J398" s="50" t="n"/>
      <c r="K398" s="50">
        <f>IF(A398="","",B398+C398)</f>
        <v/>
      </c>
      <c r="L398" s="50">
        <f>IF(A398="","",K398/12)</f>
        <v/>
      </c>
      <c r="M398" s="50">
        <f>IF(A398="","",K398/2080)</f>
        <v/>
      </c>
      <c r="N398" s="50">
        <f>IF(A398="","",B398+C398+D398+E398+I398+J398)</f>
        <v/>
      </c>
      <c r="O398" s="50">
        <f>IF(A398="","",N398*0.25)</f>
        <v/>
      </c>
      <c r="P398" s="50">
        <f>IF(A398="","",N398-O398)</f>
        <v/>
      </c>
      <c r="Q398" s="50">
        <f>IF(A398="","",ROUND(B398*0.4+C398*0.1+D398*0.1+E398*0.1+IF(G398="Yes",5000,0)*0.1+F398*500*0.1+IF(H398="Yes",5000,0)*0.1,0))</f>
        <v/>
      </c>
      <c r="R398" s="46">
        <f>IF(A398="","",ROUND(Q398/1000,1))</f>
        <v/>
      </c>
      <c r="S398" s="46">
        <f>IF(A398="","",RANK(R398,$R$2:$R$500,0))</f>
        <v/>
      </c>
    </row>
    <row r="399" ht="22" customHeight="1">
      <c r="A399" s="48" t="n"/>
      <c r="B399" s="51" t="n"/>
      <c r="C399" s="51" t="n"/>
      <c r="D399" s="51" t="n"/>
      <c r="E399" s="51" t="n"/>
      <c r="F399" s="48" t="n"/>
      <c r="G399" s="48" t="n"/>
      <c r="H399" s="48" t="n"/>
      <c r="I399" s="51" t="n"/>
      <c r="J399" s="51" t="n"/>
      <c r="K399" s="51">
        <f>IF(A399="","",B399+C399)</f>
        <v/>
      </c>
      <c r="L399" s="51">
        <f>IF(A399="","",K399/12)</f>
        <v/>
      </c>
      <c r="M399" s="51">
        <f>IF(A399="","",K399/2080)</f>
        <v/>
      </c>
      <c r="N399" s="51">
        <f>IF(A399="","",B399+C399+D399+E399+I399+J399)</f>
        <v/>
      </c>
      <c r="O399" s="51">
        <f>IF(A399="","",N399*0.25)</f>
        <v/>
      </c>
      <c r="P399" s="51">
        <f>IF(A399="","",N399-O399)</f>
        <v/>
      </c>
      <c r="Q399" s="51">
        <f>IF(A399="","",ROUND(B399*0.4+C399*0.1+D399*0.1+E399*0.1+IF(G399="Yes",5000,0)*0.1+F399*500*0.1+IF(H399="Yes",5000,0)*0.1,0))</f>
        <v/>
      </c>
      <c r="R399" s="48">
        <f>IF(A399="","",ROUND(Q399/1000,1))</f>
        <v/>
      </c>
      <c r="S399" s="48">
        <f>IF(A399="","",RANK(R399,$R$2:$R$500,0))</f>
        <v/>
      </c>
    </row>
    <row r="400" ht="22" customHeight="1">
      <c r="A400" s="46" t="n"/>
      <c r="B400" s="50" t="n"/>
      <c r="C400" s="50" t="n"/>
      <c r="D400" s="50" t="n"/>
      <c r="E400" s="50" t="n"/>
      <c r="F400" s="46" t="n"/>
      <c r="G400" s="46" t="n"/>
      <c r="H400" s="46" t="n"/>
      <c r="I400" s="50" t="n"/>
      <c r="J400" s="50" t="n"/>
      <c r="K400" s="50">
        <f>IF(A400="","",B400+C400)</f>
        <v/>
      </c>
      <c r="L400" s="50">
        <f>IF(A400="","",K400/12)</f>
        <v/>
      </c>
      <c r="M400" s="50">
        <f>IF(A400="","",K400/2080)</f>
        <v/>
      </c>
      <c r="N400" s="50">
        <f>IF(A400="","",B400+C400+D400+E400+I400+J400)</f>
        <v/>
      </c>
      <c r="O400" s="50">
        <f>IF(A400="","",N400*0.25)</f>
        <v/>
      </c>
      <c r="P400" s="50">
        <f>IF(A400="","",N400-O400)</f>
        <v/>
      </c>
      <c r="Q400" s="50">
        <f>IF(A400="","",ROUND(B400*0.4+C400*0.1+D400*0.1+E400*0.1+IF(G400="Yes",5000,0)*0.1+F400*500*0.1+IF(H400="Yes",5000,0)*0.1,0))</f>
        <v/>
      </c>
      <c r="R400" s="46">
        <f>IF(A400="","",ROUND(Q400/1000,1))</f>
        <v/>
      </c>
      <c r="S400" s="46">
        <f>IF(A400="","",RANK(R400,$R$2:$R$500,0))</f>
        <v/>
      </c>
    </row>
    <row r="401" ht="22" customHeight="1">
      <c r="A401" s="48" t="n"/>
      <c r="B401" s="51" t="n"/>
      <c r="C401" s="51" t="n"/>
      <c r="D401" s="51" t="n"/>
      <c r="E401" s="51" t="n"/>
      <c r="F401" s="48" t="n"/>
      <c r="G401" s="48" t="n"/>
      <c r="H401" s="48" t="n"/>
      <c r="I401" s="51" t="n"/>
      <c r="J401" s="51" t="n"/>
      <c r="K401" s="51">
        <f>IF(A401="","",B401+C401)</f>
        <v/>
      </c>
      <c r="L401" s="51">
        <f>IF(A401="","",K401/12)</f>
        <v/>
      </c>
      <c r="M401" s="51">
        <f>IF(A401="","",K401/2080)</f>
        <v/>
      </c>
      <c r="N401" s="51">
        <f>IF(A401="","",B401+C401+D401+E401+I401+J401)</f>
        <v/>
      </c>
      <c r="O401" s="51">
        <f>IF(A401="","",N401*0.25)</f>
        <v/>
      </c>
      <c r="P401" s="51">
        <f>IF(A401="","",N401-O401)</f>
        <v/>
      </c>
      <c r="Q401" s="51">
        <f>IF(A401="","",ROUND(B401*0.4+C401*0.1+D401*0.1+E401*0.1+IF(G401="Yes",5000,0)*0.1+F401*500*0.1+IF(H401="Yes",5000,0)*0.1,0))</f>
        <v/>
      </c>
      <c r="R401" s="48">
        <f>IF(A401="","",ROUND(Q401/1000,1))</f>
        <v/>
      </c>
      <c r="S401" s="48">
        <f>IF(A401="","",RANK(R401,$R$2:$R$500,0))</f>
        <v/>
      </c>
    </row>
    <row r="402" ht="22" customHeight="1">
      <c r="A402" s="46" t="n"/>
      <c r="B402" s="50" t="n"/>
      <c r="C402" s="50" t="n"/>
      <c r="D402" s="50" t="n"/>
      <c r="E402" s="50" t="n"/>
      <c r="F402" s="46" t="n"/>
      <c r="G402" s="46" t="n"/>
      <c r="H402" s="46" t="n"/>
      <c r="I402" s="50" t="n"/>
      <c r="J402" s="50" t="n"/>
      <c r="K402" s="50">
        <f>IF(A402="","",B402+C402)</f>
        <v/>
      </c>
      <c r="L402" s="50">
        <f>IF(A402="","",K402/12)</f>
        <v/>
      </c>
      <c r="M402" s="50">
        <f>IF(A402="","",K402/2080)</f>
        <v/>
      </c>
      <c r="N402" s="50">
        <f>IF(A402="","",B402+C402+D402+E402+I402+J402)</f>
        <v/>
      </c>
      <c r="O402" s="50">
        <f>IF(A402="","",N402*0.25)</f>
        <v/>
      </c>
      <c r="P402" s="50">
        <f>IF(A402="","",N402-O402)</f>
        <v/>
      </c>
      <c r="Q402" s="50">
        <f>IF(A402="","",ROUND(B402*0.4+C402*0.1+D402*0.1+E402*0.1+IF(G402="Yes",5000,0)*0.1+F402*500*0.1+IF(H402="Yes",5000,0)*0.1,0))</f>
        <v/>
      </c>
      <c r="R402" s="46">
        <f>IF(A402="","",ROUND(Q402/1000,1))</f>
        <v/>
      </c>
      <c r="S402" s="46">
        <f>IF(A402="","",RANK(R402,$R$2:$R$500,0))</f>
        <v/>
      </c>
    </row>
    <row r="403" ht="22" customHeight="1">
      <c r="A403" s="48" t="n"/>
      <c r="B403" s="51" t="n"/>
      <c r="C403" s="51" t="n"/>
      <c r="D403" s="51" t="n"/>
      <c r="E403" s="51" t="n"/>
      <c r="F403" s="48" t="n"/>
      <c r="G403" s="48" t="n"/>
      <c r="H403" s="48" t="n"/>
      <c r="I403" s="51" t="n"/>
      <c r="J403" s="51" t="n"/>
      <c r="K403" s="51">
        <f>IF(A403="","",B403+C403)</f>
        <v/>
      </c>
      <c r="L403" s="51">
        <f>IF(A403="","",K403/12)</f>
        <v/>
      </c>
      <c r="M403" s="51">
        <f>IF(A403="","",K403/2080)</f>
        <v/>
      </c>
      <c r="N403" s="51">
        <f>IF(A403="","",B403+C403+D403+E403+I403+J403)</f>
        <v/>
      </c>
      <c r="O403" s="51">
        <f>IF(A403="","",N403*0.25)</f>
        <v/>
      </c>
      <c r="P403" s="51">
        <f>IF(A403="","",N403-O403)</f>
        <v/>
      </c>
      <c r="Q403" s="51">
        <f>IF(A403="","",ROUND(B403*0.4+C403*0.1+D403*0.1+E403*0.1+IF(G403="Yes",5000,0)*0.1+F403*500*0.1+IF(H403="Yes",5000,0)*0.1,0))</f>
        <v/>
      </c>
      <c r="R403" s="48">
        <f>IF(A403="","",ROUND(Q403/1000,1))</f>
        <v/>
      </c>
      <c r="S403" s="48">
        <f>IF(A403="","",RANK(R403,$R$2:$R$500,0))</f>
        <v/>
      </c>
    </row>
    <row r="404" ht="22" customHeight="1">
      <c r="A404" s="46" t="n"/>
      <c r="B404" s="50" t="n"/>
      <c r="C404" s="50" t="n"/>
      <c r="D404" s="50" t="n"/>
      <c r="E404" s="50" t="n"/>
      <c r="F404" s="46" t="n"/>
      <c r="G404" s="46" t="n"/>
      <c r="H404" s="46" t="n"/>
      <c r="I404" s="50" t="n"/>
      <c r="J404" s="50" t="n"/>
      <c r="K404" s="50">
        <f>IF(A404="","",B404+C404)</f>
        <v/>
      </c>
      <c r="L404" s="50">
        <f>IF(A404="","",K404/12)</f>
        <v/>
      </c>
      <c r="M404" s="50">
        <f>IF(A404="","",K404/2080)</f>
        <v/>
      </c>
      <c r="N404" s="50">
        <f>IF(A404="","",B404+C404+D404+E404+I404+J404)</f>
        <v/>
      </c>
      <c r="O404" s="50">
        <f>IF(A404="","",N404*0.25)</f>
        <v/>
      </c>
      <c r="P404" s="50">
        <f>IF(A404="","",N404-O404)</f>
        <v/>
      </c>
      <c r="Q404" s="50">
        <f>IF(A404="","",ROUND(B404*0.4+C404*0.1+D404*0.1+E404*0.1+IF(G404="Yes",5000,0)*0.1+F404*500*0.1+IF(H404="Yes",5000,0)*0.1,0))</f>
        <v/>
      </c>
      <c r="R404" s="46">
        <f>IF(A404="","",ROUND(Q404/1000,1))</f>
        <v/>
      </c>
      <c r="S404" s="46">
        <f>IF(A404="","",RANK(R404,$R$2:$R$500,0))</f>
        <v/>
      </c>
    </row>
    <row r="405" ht="22" customHeight="1">
      <c r="A405" s="48" t="n"/>
      <c r="B405" s="51" t="n"/>
      <c r="C405" s="51" t="n"/>
      <c r="D405" s="51" t="n"/>
      <c r="E405" s="51" t="n"/>
      <c r="F405" s="48" t="n"/>
      <c r="G405" s="48" t="n"/>
      <c r="H405" s="48" t="n"/>
      <c r="I405" s="51" t="n"/>
      <c r="J405" s="51" t="n"/>
      <c r="K405" s="51">
        <f>IF(A405="","",B405+C405)</f>
        <v/>
      </c>
      <c r="L405" s="51">
        <f>IF(A405="","",K405/12)</f>
        <v/>
      </c>
      <c r="M405" s="51">
        <f>IF(A405="","",K405/2080)</f>
        <v/>
      </c>
      <c r="N405" s="51">
        <f>IF(A405="","",B405+C405+D405+E405+I405+J405)</f>
        <v/>
      </c>
      <c r="O405" s="51">
        <f>IF(A405="","",N405*0.25)</f>
        <v/>
      </c>
      <c r="P405" s="51">
        <f>IF(A405="","",N405-O405)</f>
        <v/>
      </c>
      <c r="Q405" s="51">
        <f>IF(A405="","",ROUND(B405*0.4+C405*0.1+D405*0.1+E405*0.1+IF(G405="Yes",5000,0)*0.1+F405*500*0.1+IF(H405="Yes",5000,0)*0.1,0))</f>
        <v/>
      </c>
      <c r="R405" s="48">
        <f>IF(A405="","",ROUND(Q405/1000,1))</f>
        <v/>
      </c>
      <c r="S405" s="48">
        <f>IF(A405="","",RANK(R405,$R$2:$R$500,0))</f>
        <v/>
      </c>
    </row>
    <row r="406" ht="22" customHeight="1">
      <c r="A406" s="46" t="n"/>
      <c r="B406" s="50" t="n"/>
      <c r="C406" s="50" t="n"/>
      <c r="D406" s="50" t="n"/>
      <c r="E406" s="50" t="n"/>
      <c r="F406" s="46" t="n"/>
      <c r="G406" s="46" t="n"/>
      <c r="H406" s="46" t="n"/>
      <c r="I406" s="50" t="n"/>
      <c r="J406" s="50" t="n"/>
      <c r="K406" s="50">
        <f>IF(A406="","",B406+C406)</f>
        <v/>
      </c>
      <c r="L406" s="50">
        <f>IF(A406="","",K406/12)</f>
        <v/>
      </c>
      <c r="M406" s="50">
        <f>IF(A406="","",K406/2080)</f>
        <v/>
      </c>
      <c r="N406" s="50">
        <f>IF(A406="","",B406+C406+D406+E406+I406+J406)</f>
        <v/>
      </c>
      <c r="O406" s="50">
        <f>IF(A406="","",N406*0.25)</f>
        <v/>
      </c>
      <c r="P406" s="50">
        <f>IF(A406="","",N406-O406)</f>
        <v/>
      </c>
      <c r="Q406" s="50">
        <f>IF(A406="","",ROUND(B406*0.4+C406*0.1+D406*0.1+E406*0.1+IF(G406="Yes",5000,0)*0.1+F406*500*0.1+IF(H406="Yes",5000,0)*0.1,0))</f>
        <v/>
      </c>
      <c r="R406" s="46">
        <f>IF(A406="","",ROUND(Q406/1000,1))</f>
        <v/>
      </c>
      <c r="S406" s="46">
        <f>IF(A406="","",RANK(R406,$R$2:$R$500,0))</f>
        <v/>
      </c>
    </row>
    <row r="407" ht="22" customHeight="1">
      <c r="A407" s="48" t="n"/>
      <c r="B407" s="51" t="n"/>
      <c r="C407" s="51" t="n"/>
      <c r="D407" s="51" t="n"/>
      <c r="E407" s="51" t="n"/>
      <c r="F407" s="48" t="n"/>
      <c r="G407" s="48" t="n"/>
      <c r="H407" s="48" t="n"/>
      <c r="I407" s="51" t="n"/>
      <c r="J407" s="51" t="n"/>
      <c r="K407" s="51">
        <f>IF(A407="","",B407+C407)</f>
        <v/>
      </c>
      <c r="L407" s="51">
        <f>IF(A407="","",K407/12)</f>
        <v/>
      </c>
      <c r="M407" s="51">
        <f>IF(A407="","",K407/2080)</f>
        <v/>
      </c>
      <c r="N407" s="51">
        <f>IF(A407="","",B407+C407+D407+E407+I407+J407)</f>
        <v/>
      </c>
      <c r="O407" s="51">
        <f>IF(A407="","",N407*0.25)</f>
        <v/>
      </c>
      <c r="P407" s="51">
        <f>IF(A407="","",N407-O407)</f>
        <v/>
      </c>
      <c r="Q407" s="51">
        <f>IF(A407="","",ROUND(B407*0.4+C407*0.1+D407*0.1+E407*0.1+IF(G407="Yes",5000,0)*0.1+F407*500*0.1+IF(H407="Yes",5000,0)*0.1,0))</f>
        <v/>
      </c>
      <c r="R407" s="48">
        <f>IF(A407="","",ROUND(Q407/1000,1))</f>
        <v/>
      </c>
      <c r="S407" s="48">
        <f>IF(A407="","",RANK(R407,$R$2:$R$500,0))</f>
        <v/>
      </c>
    </row>
    <row r="408" ht="22" customHeight="1">
      <c r="A408" s="46" t="n"/>
      <c r="B408" s="50" t="n"/>
      <c r="C408" s="50" t="n"/>
      <c r="D408" s="50" t="n"/>
      <c r="E408" s="50" t="n"/>
      <c r="F408" s="46" t="n"/>
      <c r="G408" s="46" t="n"/>
      <c r="H408" s="46" t="n"/>
      <c r="I408" s="50" t="n"/>
      <c r="J408" s="50" t="n"/>
      <c r="K408" s="50">
        <f>IF(A408="","",B408+C408)</f>
        <v/>
      </c>
      <c r="L408" s="50">
        <f>IF(A408="","",K408/12)</f>
        <v/>
      </c>
      <c r="M408" s="50">
        <f>IF(A408="","",K408/2080)</f>
        <v/>
      </c>
      <c r="N408" s="50">
        <f>IF(A408="","",B408+C408+D408+E408+I408+J408)</f>
        <v/>
      </c>
      <c r="O408" s="50">
        <f>IF(A408="","",N408*0.25)</f>
        <v/>
      </c>
      <c r="P408" s="50">
        <f>IF(A408="","",N408-O408)</f>
        <v/>
      </c>
      <c r="Q408" s="50">
        <f>IF(A408="","",ROUND(B408*0.4+C408*0.1+D408*0.1+E408*0.1+IF(G408="Yes",5000,0)*0.1+F408*500*0.1+IF(H408="Yes",5000,0)*0.1,0))</f>
        <v/>
      </c>
      <c r="R408" s="46">
        <f>IF(A408="","",ROUND(Q408/1000,1))</f>
        <v/>
      </c>
      <c r="S408" s="46">
        <f>IF(A408="","",RANK(R408,$R$2:$R$500,0))</f>
        <v/>
      </c>
    </row>
    <row r="409" ht="22" customHeight="1">
      <c r="A409" s="48" t="n"/>
      <c r="B409" s="51" t="n"/>
      <c r="C409" s="51" t="n"/>
      <c r="D409" s="51" t="n"/>
      <c r="E409" s="51" t="n"/>
      <c r="F409" s="48" t="n"/>
      <c r="G409" s="48" t="n"/>
      <c r="H409" s="48" t="n"/>
      <c r="I409" s="51" t="n"/>
      <c r="J409" s="51" t="n"/>
      <c r="K409" s="51">
        <f>IF(A409="","",B409+C409)</f>
        <v/>
      </c>
      <c r="L409" s="51">
        <f>IF(A409="","",K409/12)</f>
        <v/>
      </c>
      <c r="M409" s="51">
        <f>IF(A409="","",K409/2080)</f>
        <v/>
      </c>
      <c r="N409" s="51">
        <f>IF(A409="","",B409+C409+D409+E409+I409+J409)</f>
        <v/>
      </c>
      <c r="O409" s="51">
        <f>IF(A409="","",N409*0.25)</f>
        <v/>
      </c>
      <c r="P409" s="51">
        <f>IF(A409="","",N409-O409)</f>
        <v/>
      </c>
      <c r="Q409" s="51">
        <f>IF(A409="","",ROUND(B409*0.4+C409*0.1+D409*0.1+E409*0.1+IF(G409="Yes",5000,0)*0.1+F409*500*0.1+IF(H409="Yes",5000,0)*0.1,0))</f>
        <v/>
      </c>
      <c r="R409" s="48">
        <f>IF(A409="","",ROUND(Q409/1000,1))</f>
        <v/>
      </c>
      <c r="S409" s="48">
        <f>IF(A409="","",RANK(R409,$R$2:$R$500,0))</f>
        <v/>
      </c>
    </row>
    <row r="410" ht="22" customHeight="1">
      <c r="A410" s="46" t="n"/>
      <c r="B410" s="50" t="n"/>
      <c r="C410" s="50" t="n"/>
      <c r="D410" s="50" t="n"/>
      <c r="E410" s="50" t="n"/>
      <c r="F410" s="46" t="n"/>
      <c r="G410" s="46" t="n"/>
      <c r="H410" s="46" t="n"/>
      <c r="I410" s="50" t="n"/>
      <c r="J410" s="50" t="n"/>
      <c r="K410" s="50">
        <f>IF(A410="","",B410+C410)</f>
        <v/>
      </c>
      <c r="L410" s="50">
        <f>IF(A410="","",K410/12)</f>
        <v/>
      </c>
      <c r="M410" s="50">
        <f>IF(A410="","",K410/2080)</f>
        <v/>
      </c>
      <c r="N410" s="50">
        <f>IF(A410="","",B410+C410+D410+E410+I410+J410)</f>
        <v/>
      </c>
      <c r="O410" s="50">
        <f>IF(A410="","",N410*0.25)</f>
        <v/>
      </c>
      <c r="P410" s="50">
        <f>IF(A410="","",N410-O410)</f>
        <v/>
      </c>
      <c r="Q410" s="50">
        <f>IF(A410="","",ROUND(B410*0.4+C410*0.1+D410*0.1+E410*0.1+IF(G410="Yes",5000,0)*0.1+F410*500*0.1+IF(H410="Yes",5000,0)*0.1,0))</f>
        <v/>
      </c>
      <c r="R410" s="46">
        <f>IF(A410="","",ROUND(Q410/1000,1))</f>
        <v/>
      </c>
      <c r="S410" s="46">
        <f>IF(A410="","",RANK(R410,$R$2:$R$500,0))</f>
        <v/>
      </c>
    </row>
    <row r="411" ht="22" customHeight="1">
      <c r="A411" s="48" t="n"/>
      <c r="B411" s="51" t="n"/>
      <c r="C411" s="51" t="n"/>
      <c r="D411" s="51" t="n"/>
      <c r="E411" s="51" t="n"/>
      <c r="F411" s="48" t="n"/>
      <c r="G411" s="48" t="n"/>
      <c r="H411" s="48" t="n"/>
      <c r="I411" s="51" t="n"/>
      <c r="J411" s="51" t="n"/>
      <c r="K411" s="51">
        <f>IF(A411="","",B411+C411)</f>
        <v/>
      </c>
      <c r="L411" s="51">
        <f>IF(A411="","",K411/12)</f>
        <v/>
      </c>
      <c r="M411" s="51">
        <f>IF(A411="","",K411/2080)</f>
        <v/>
      </c>
      <c r="N411" s="51">
        <f>IF(A411="","",B411+C411+D411+E411+I411+J411)</f>
        <v/>
      </c>
      <c r="O411" s="51">
        <f>IF(A411="","",N411*0.25)</f>
        <v/>
      </c>
      <c r="P411" s="51">
        <f>IF(A411="","",N411-O411)</f>
        <v/>
      </c>
      <c r="Q411" s="51">
        <f>IF(A411="","",ROUND(B411*0.4+C411*0.1+D411*0.1+E411*0.1+IF(G411="Yes",5000,0)*0.1+F411*500*0.1+IF(H411="Yes",5000,0)*0.1,0))</f>
        <v/>
      </c>
      <c r="R411" s="48">
        <f>IF(A411="","",ROUND(Q411/1000,1))</f>
        <v/>
      </c>
      <c r="S411" s="48">
        <f>IF(A411="","",RANK(R411,$R$2:$R$500,0))</f>
        <v/>
      </c>
    </row>
    <row r="412" ht="22" customHeight="1">
      <c r="A412" s="46" t="n"/>
      <c r="B412" s="50" t="n"/>
      <c r="C412" s="50" t="n"/>
      <c r="D412" s="50" t="n"/>
      <c r="E412" s="50" t="n"/>
      <c r="F412" s="46" t="n"/>
      <c r="G412" s="46" t="n"/>
      <c r="H412" s="46" t="n"/>
      <c r="I412" s="50" t="n"/>
      <c r="J412" s="50" t="n"/>
      <c r="K412" s="50">
        <f>IF(A412="","",B412+C412)</f>
        <v/>
      </c>
      <c r="L412" s="50">
        <f>IF(A412="","",K412/12)</f>
        <v/>
      </c>
      <c r="M412" s="50">
        <f>IF(A412="","",K412/2080)</f>
        <v/>
      </c>
      <c r="N412" s="50">
        <f>IF(A412="","",B412+C412+D412+E412+I412+J412)</f>
        <v/>
      </c>
      <c r="O412" s="50">
        <f>IF(A412="","",N412*0.25)</f>
        <v/>
      </c>
      <c r="P412" s="50">
        <f>IF(A412="","",N412-O412)</f>
        <v/>
      </c>
      <c r="Q412" s="50">
        <f>IF(A412="","",ROUND(B412*0.4+C412*0.1+D412*0.1+E412*0.1+IF(G412="Yes",5000,0)*0.1+F412*500*0.1+IF(H412="Yes",5000,0)*0.1,0))</f>
        <v/>
      </c>
      <c r="R412" s="46">
        <f>IF(A412="","",ROUND(Q412/1000,1))</f>
        <v/>
      </c>
      <c r="S412" s="46">
        <f>IF(A412="","",RANK(R412,$R$2:$R$500,0))</f>
        <v/>
      </c>
    </row>
    <row r="413" ht="22" customHeight="1">
      <c r="A413" s="48" t="n"/>
      <c r="B413" s="51" t="n"/>
      <c r="C413" s="51" t="n"/>
      <c r="D413" s="51" t="n"/>
      <c r="E413" s="51" t="n"/>
      <c r="F413" s="48" t="n"/>
      <c r="G413" s="48" t="n"/>
      <c r="H413" s="48" t="n"/>
      <c r="I413" s="51" t="n"/>
      <c r="J413" s="51" t="n"/>
      <c r="K413" s="51">
        <f>IF(A413="","",B413+C413)</f>
        <v/>
      </c>
      <c r="L413" s="51">
        <f>IF(A413="","",K413/12)</f>
        <v/>
      </c>
      <c r="M413" s="51">
        <f>IF(A413="","",K413/2080)</f>
        <v/>
      </c>
      <c r="N413" s="51">
        <f>IF(A413="","",B413+C413+D413+E413+I413+J413)</f>
        <v/>
      </c>
      <c r="O413" s="51">
        <f>IF(A413="","",N413*0.25)</f>
        <v/>
      </c>
      <c r="P413" s="51">
        <f>IF(A413="","",N413-O413)</f>
        <v/>
      </c>
      <c r="Q413" s="51">
        <f>IF(A413="","",ROUND(B413*0.4+C413*0.1+D413*0.1+E413*0.1+IF(G413="Yes",5000,0)*0.1+F413*500*0.1+IF(H413="Yes",5000,0)*0.1,0))</f>
        <v/>
      </c>
      <c r="R413" s="48">
        <f>IF(A413="","",ROUND(Q413/1000,1))</f>
        <v/>
      </c>
      <c r="S413" s="48">
        <f>IF(A413="","",RANK(R413,$R$2:$R$500,0))</f>
        <v/>
      </c>
    </row>
    <row r="414" ht="22" customHeight="1">
      <c r="A414" s="46" t="n"/>
      <c r="B414" s="50" t="n"/>
      <c r="C414" s="50" t="n"/>
      <c r="D414" s="50" t="n"/>
      <c r="E414" s="50" t="n"/>
      <c r="F414" s="46" t="n"/>
      <c r="G414" s="46" t="n"/>
      <c r="H414" s="46" t="n"/>
      <c r="I414" s="50" t="n"/>
      <c r="J414" s="50" t="n"/>
      <c r="K414" s="50">
        <f>IF(A414="","",B414+C414)</f>
        <v/>
      </c>
      <c r="L414" s="50">
        <f>IF(A414="","",K414/12)</f>
        <v/>
      </c>
      <c r="M414" s="50">
        <f>IF(A414="","",K414/2080)</f>
        <v/>
      </c>
      <c r="N414" s="50">
        <f>IF(A414="","",B414+C414+D414+E414+I414+J414)</f>
        <v/>
      </c>
      <c r="O414" s="50">
        <f>IF(A414="","",N414*0.25)</f>
        <v/>
      </c>
      <c r="P414" s="50">
        <f>IF(A414="","",N414-O414)</f>
        <v/>
      </c>
      <c r="Q414" s="50">
        <f>IF(A414="","",ROUND(B414*0.4+C414*0.1+D414*0.1+E414*0.1+IF(G414="Yes",5000,0)*0.1+F414*500*0.1+IF(H414="Yes",5000,0)*0.1,0))</f>
        <v/>
      </c>
      <c r="R414" s="46">
        <f>IF(A414="","",ROUND(Q414/1000,1))</f>
        <v/>
      </c>
      <c r="S414" s="46">
        <f>IF(A414="","",RANK(R414,$R$2:$R$500,0))</f>
        <v/>
      </c>
    </row>
    <row r="415" ht="22" customHeight="1">
      <c r="A415" s="48" t="n"/>
      <c r="B415" s="51" t="n"/>
      <c r="C415" s="51" t="n"/>
      <c r="D415" s="51" t="n"/>
      <c r="E415" s="51" t="n"/>
      <c r="F415" s="48" t="n"/>
      <c r="G415" s="48" t="n"/>
      <c r="H415" s="48" t="n"/>
      <c r="I415" s="51" t="n"/>
      <c r="J415" s="51" t="n"/>
      <c r="K415" s="51">
        <f>IF(A415="","",B415+C415)</f>
        <v/>
      </c>
      <c r="L415" s="51">
        <f>IF(A415="","",K415/12)</f>
        <v/>
      </c>
      <c r="M415" s="51">
        <f>IF(A415="","",K415/2080)</f>
        <v/>
      </c>
      <c r="N415" s="51">
        <f>IF(A415="","",B415+C415+D415+E415+I415+J415)</f>
        <v/>
      </c>
      <c r="O415" s="51">
        <f>IF(A415="","",N415*0.25)</f>
        <v/>
      </c>
      <c r="P415" s="51">
        <f>IF(A415="","",N415-O415)</f>
        <v/>
      </c>
      <c r="Q415" s="51">
        <f>IF(A415="","",ROUND(B415*0.4+C415*0.1+D415*0.1+E415*0.1+IF(G415="Yes",5000,0)*0.1+F415*500*0.1+IF(H415="Yes",5000,0)*0.1,0))</f>
        <v/>
      </c>
      <c r="R415" s="48">
        <f>IF(A415="","",ROUND(Q415/1000,1))</f>
        <v/>
      </c>
      <c r="S415" s="48">
        <f>IF(A415="","",RANK(R415,$R$2:$R$500,0))</f>
        <v/>
      </c>
    </row>
    <row r="416" ht="22" customHeight="1">
      <c r="A416" s="46" t="n"/>
      <c r="B416" s="50" t="n"/>
      <c r="C416" s="50" t="n"/>
      <c r="D416" s="50" t="n"/>
      <c r="E416" s="50" t="n"/>
      <c r="F416" s="46" t="n"/>
      <c r="G416" s="46" t="n"/>
      <c r="H416" s="46" t="n"/>
      <c r="I416" s="50" t="n"/>
      <c r="J416" s="50" t="n"/>
      <c r="K416" s="50">
        <f>IF(A416="","",B416+C416)</f>
        <v/>
      </c>
      <c r="L416" s="50">
        <f>IF(A416="","",K416/12)</f>
        <v/>
      </c>
      <c r="M416" s="50">
        <f>IF(A416="","",K416/2080)</f>
        <v/>
      </c>
      <c r="N416" s="50">
        <f>IF(A416="","",B416+C416+D416+E416+I416+J416)</f>
        <v/>
      </c>
      <c r="O416" s="50">
        <f>IF(A416="","",N416*0.25)</f>
        <v/>
      </c>
      <c r="P416" s="50">
        <f>IF(A416="","",N416-O416)</f>
        <v/>
      </c>
      <c r="Q416" s="50">
        <f>IF(A416="","",ROUND(B416*0.4+C416*0.1+D416*0.1+E416*0.1+IF(G416="Yes",5000,0)*0.1+F416*500*0.1+IF(H416="Yes",5000,0)*0.1,0))</f>
        <v/>
      </c>
      <c r="R416" s="46">
        <f>IF(A416="","",ROUND(Q416/1000,1))</f>
        <v/>
      </c>
      <c r="S416" s="46">
        <f>IF(A416="","",RANK(R416,$R$2:$R$500,0))</f>
        <v/>
      </c>
    </row>
    <row r="417" ht="22" customHeight="1">
      <c r="A417" s="48" t="n"/>
      <c r="B417" s="51" t="n"/>
      <c r="C417" s="51" t="n"/>
      <c r="D417" s="51" t="n"/>
      <c r="E417" s="51" t="n"/>
      <c r="F417" s="48" t="n"/>
      <c r="G417" s="48" t="n"/>
      <c r="H417" s="48" t="n"/>
      <c r="I417" s="51" t="n"/>
      <c r="J417" s="51" t="n"/>
      <c r="K417" s="51">
        <f>IF(A417="","",B417+C417)</f>
        <v/>
      </c>
      <c r="L417" s="51">
        <f>IF(A417="","",K417/12)</f>
        <v/>
      </c>
      <c r="M417" s="51">
        <f>IF(A417="","",K417/2080)</f>
        <v/>
      </c>
      <c r="N417" s="51">
        <f>IF(A417="","",B417+C417+D417+E417+I417+J417)</f>
        <v/>
      </c>
      <c r="O417" s="51">
        <f>IF(A417="","",N417*0.25)</f>
        <v/>
      </c>
      <c r="P417" s="51">
        <f>IF(A417="","",N417-O417)</f>
        <v/>
      </c>
      <c r="Q417" s="51">
        <f>IF(A417="","",ROUND(B417*0.4+C417*0.1+D417*0.1+E417*0.1+IF(G417="Yes",5000,0)*0.1+F417*500*0.1+IF(H417="Yes",5000,0)*0.1,0))</f>
        <v/>
      </c>
      <c r="R417" s="48">
        <f>IF(A417="","",ROUND(Q417/1000,1))</f>
        <v/>
      </c>
      <c r="S417" s="48">
        <f>IF(A417="","",RANK(R417,$R$2:$R$500,0))</f>
        <v/>
      </c>
    </row>
    <row r="418" ht="22" customHeight="1">
      <c r="A418" s="46" t="n"/>
      <c r="B418" s="50" t="n"/>
      <c r="C418" s="50" t="n"/>
      <c r="D418" s="50" t="n"/>
      <c r="E418" s="50" t="n"/>
      <c r="F418" s="46" t="n"/>
      <c r="G418" s="46" t="n"/>
      <c r="H418" s="46" t="n"/>
      <c r="I418" s="50" t="n"/>
      <c r="J418" s="50" t="n"/>
      <c r="K418" s="50">
        <f>IF(A418="","",B418+C418)</f>
        <v/>
      </c>
      <c r="L418" s="50">
        <f>IF(A418="","",K418/12)</f>
        <v/>
      </c>
      <c r="M418" s="50">
        <f>IF(A418="","",K418/2080)</f>
        <v/>
      </c>
      <c r="N418" s="50">
        <f>IF(A418="","",B418+C418+D418+E418+I418+J418)</f>
        <v/>
      </c>
      <c r="O418" s="50">
        <f>IF(A418="","",N418*0.25)</f>
        <v/>
      </c>
      <c r="P418" s="50">
        <f>IF(A418="","",N418-O418)</f>
        <v/>
      </c>
      <c r="Q418" s="50">
        <f>IF(A418="","",ROUND(B418*0.4+C418*0.1+D418*0.1+E418*0.1+IF(G418="Yes",5000,0)*0.1+F418*500*0.1+IF(H418="Yes",5000,0)*0.1,0))</f>
        <v/>
      </c>
      <c r="R418" s="46">
        <f>IF(A418="","",ROUND(Q418/1000,1))</f>
        <v/>
      </c>
      <c r="S418" s="46">
        <f>IF(A418="","",RANK(R418,$R$2:$R$500,0))</f>
        <v/>
      </c>
    </row>
    <row r="419" ht="22" customHeight="1">
      <c r="A419" s="48" t="n"/>
      <c r="B419" s="51" t="n"/>
      <c r="C419" s="51" t="n"/>
      <c r="D419" s="51" t="n"/>
      <c r="E419" s="51" t="n"/>
      <c r="F419" s="48" t="n"/>
      <c r="G419" s="48" t="n"/>
      <c r="H419" s="48" t="n"/>
      <c r="I419" s="51" t="n"/>
      <c r="J419" s="51" t="n"/>
      <c r="K419" s="51">
        <f>IF(A419="","",B419+C419)</f>
        <v/>
      </c>
      <c r="L419" s="51">
        <f>IF(A419="","",K419/12)</f>
        <v/>
      </c>
      <c r="M419" s="51">
        <f>IF(A419="","",K419/2080)</f>
        <v/>
      </c>
      <c r="N419" s="51">
        <f>IF(A419="","",B419+C419+D419+E419+I419+J419)</f>
        <v/>
      </c>
      <c r="O419" s="51">
        <f>IF(A419="","",N419*0.25)</f>
        <v/>
      </c>
      <c r="P419" s="51">
        <f>IF(A419="","",N419-O419)</f>
        <v/>
      </c>
      <c r="Q419" s="51">
        <f>IF(A419="","",ROUND(B419*0.4+C419*0.1+D419*0.1+E419*0.1+IF(G419="Yes",5000,0)*0.1+F419*500*0.1+IF(H419="Yes",5000,0)*0.1,0))</f>
        <v/>
      </c>
      <c r="R419" s="48">
        <f>IF(A419="","",ROUND(Q419/1000,1))</f>
        <v/>
      </c>
      <c r="S419" s="48">
        <f>IF(A419="","",RANK(R419,$R$2:$R$500,0))</f>
        <v/>
      </c>
    </row>
    <row r="420" ht="22" customHeight="1">
      <c r="A420" s="46" t="n"/>
      <c r="B420" s="50" t="n"/>
      <c r="C420" s="50" t="n"/>
      <c r="D420" s="50" t="n"/>
      <c r="E420" s="50" t="n"/>
      <c r="F420" s="46" t="n"/>
      <c r="G420" s="46" t="n"/>
      <c r="H420" s="46" t="n"/>
      <c r="I420" s="50" t="n"/>
      <c r="J420" s="50" t="n"/>
      <c r="K420" s="50">
        <f>IF(A420="","",B420+C420)</f>
        <v/>
      </c>
      <c r="L420" s="50">
        <f>IF(A420="","",K420/12)</f>
        <v/>
      </c>
      <c r="M420" s="50">
        <f>IF(A420="","",K420/2080)</f>
        <v/>
      </c>
      <c r="N420" s="50">
        <f>IF(A420="","",B420+C420+D420+E420+I420+J420)</f>
        <v/>
      </c>
      <c r="O420" s="50">
        <f>IF(A420="","",N420*0.25)</f>
        <v/>
      </c>
      <c r="P420" s="50">
        <f>IF(A420="","",N420-O420)</f>
        <v/>
      </c>
      <c r="Q420" s="50">
        <f>IF(A420="","",ROUND(B420*0.4+C420*0.1+D420*0.1+E420*0.1+IF(G420="Yes",5000,0)*0.1+F420*500*0.1+IF(H420="Yes",5000,0)*0.1,0))</f>
        <v/>
      </c>
      <c r="R420" s="46">
        <f>IF(A420="","",ROUND(Q420/1000,1))</f>
        <v/>
      </c>
      <c r="S420" s="46">
        <f>IF(A420="","",RANK(R420,$R$2:$R$500,0))</f>
        <v/>
      </c>
    </row>
    <row r="421" ht="22" customHeight="1">
      <c r="A421" s="48" t="n"/>
      <c r="B421" s="51" t="n"/>
      <c r="C421" s="51" t="n"/>
      <c r="D421" s="51" t="n"/>
      <c r="E421" s="51" t="n"/>
      <c r="F421" s="48" t="n"/>
      <c r="G421" s="48" t="n"/>
      <c r="H421" s="48" t="n"/>
      <c r="I421" s="51" t="n"/>
      <c r="J421" s="51" t="n"/>
      <c r="K421" s="51">
        <f>IF(A421="","",B421+C421)</f>
        <v/>
      </c>
      <c r="L421" s="51">
        <f>IF(A421="","",K421/12)</f>
        <v/>
      </c>
      <c r="M421" s="51">
        <f>IF(A421="","",K421/2080)</f>
        <v/>
      </c>
      <c r="N421" s="51">
        <f>IF(A421="","",B421+C421+D421+E421+I421+J421)</f>
        <v/>
      </c>
      <c r="O421" s="51">
        <f>IF(A421="","",N421*0.25)</f>
        <v/>
      </c>
      <c r="P421" s="51">
        <f>IF(A421="","",N421-O421)</f>
        <v/>
      </c>
      <c r="Q421" s="51">
        <f>IF(A421="","",ROUND(B421*0.4+C421*0.1+D421*0.1+E421*0.1+IF(G421="Yes",5000,0)*0.1+F421*500*0.1+IF(H421="Yes",5000,0)*0.1,0))</f>
        <v/>
      </c>
      <c r="R421" s="48">
        <f>IF(A421="","",ROUND(Q421/1000,1))</f>
        <v/>
      </c>
      <c r="S421" s="48">
        <f>IF(A421="","",RANK(R421,$R$2:$R$500,0))</f>
        <v/>
      </c>
    </row>
    <row r="422" ht="22" customHeight="1">
      <c r="A422" s="46" t="n"/>
      <c r="B422" s="50" t="n"/>
      <c r="C422" s="50" t="n"/>
      <c r="D422" s="50" t="n"/>
      <c r="E422" s="50" t="n"/>
      <c r="F422" s="46" t="n"/>
      <c r="G422" s="46" t="n"/>
      <c r="H422" s="46" t="n"/>
      <c r="I422" s="50" t="n"/>
      <c r="J422" s="50" t="n"/>
      <c r="K422" s="50">
        <f>IF(A422="","",B422+C422)</f>
        <v/>
      </c>
      <c r="L422" s="50">
        <f>IF(A422="","",K422/12)</f>
        <v/>
      </c>
      <c r="M422" s="50">
        <f>IF(A422="","",K422/2080)</f>
        <v/>
      </c>
      <c r="N422" s="50">
        <f>IF(A422="","",B422+C422+D422+E422+I422+J422)</f>
        <v/>
      </c>
      <c r="O422" s="50">
        <f>IF(A422="","",N422*0.25)</f>
        <v/>
      </c>
      <c r="P422" s="50">
        <f>IF(A422="","",N422-O422)</f>
        <v/>
      </c>
      <c r="Q422" s="50">
        <f>IF(A422="","",ROUND(B422*0.4+C422*0.1+D422*0.1+E422*0.1+IF(G422="Yes",5000,0)*0.1+F422*500*0.1+IF(H422="Yes",5000,0)*0.1,0))</f>
        <v/>
      </c>
      <c r="R422" s="46">
        <f>IF(A422="","",ROUND(Q422/1000,1))</f>
        <v/>
      </c>
      <c r="S422" s="46">
        <f>IF(A422="","",RANK(R422,$R$2:$R$500,0))</f>
        <v/>
      </c>
    </row>
    <row r="423" ht="22" customHeight="1">
      <c r="A423" s="48" t="n"/>
      <c r="B423" s="51" t="n"/>
      <c r="C423" s="51" t="n"/>
      <c r="D423" s="51" t="n"/>
      <c r="E423" s="51" t="n"/>
      <c r="F423" s="48" t="n"/>
      <c r="G423" s="48" t="n"/>
      <c r="H423" s="48" t="n"/>
      <c r="I423" s="51" t="n"/>
      <c r="J423" s="51" t="n"/>
      <c r="K423" s="51">
        <f>IF(A423="","",B423+C423)</f>
        <v/>
      </c>
      <c r="L423" s="51">
        <f>IF(A423="","",K423/12)</f>
        <v/>
      </c>
      <c r="M423" s="51">
        <f>IF(A423="","",K423/2080)</f>
        <v/>
      </c>
      <c r="N423" s="51">
        <f>IF(A423="","",B423+C423+D423+E423+I423+J423)</f>
        <v/>
      </c>
      <c r="O423" s="51">
        <f>IF(A423="","",N423*0.25)</f>
        <v/>
      </c>
      <c r="P423" s="51">
        <f>IF(A423="","",N423-O423)</f>
        <v/>
      </c>
      <c r="Q423" s="51">
        <f>IF(A423="","",ROUND(B423*0.4+C423*0.1+D423*0.1+E423*0.1+IF(G423="Yes",5000,0)*0.1+F423*500*0.1+IF(H423="Yes",5000,0)*0.1,0))</f>
        <v/>
      </c>
      <c r="R423" s="48">
        <f>IF(A423="","",ROUND(Q423/1000,1))</f>
        <v/>
      </c>
      <c r="S423" s="48">
        <f>IF(A423="","",RANK(R423,$R$2:$R$500,0))</f>
        <v/>
      </c>
    </row>
    <row r="424" ht="22" customHeight="1">
      <c r="A424" s="46" t="n"/>
      <c r="B424" s="50" t="n"/>
      <c r="C424" s="50" t="n"/>
      <c r="D424" s="50" t="n"/>
      <c r="E424" s="50" t="n"/>
      <c r="F424" s="46" t="n"/>
      <c r="G424" s="46" t="n"/>
      <c r="H424" s="46" t="n"/>
      <c r="I424" s="50" t="n"/>
      <c r="J424" s="50" t="n"/>
      <c r="K424" s="50">
        <f>IF(A424="","",B424+C424)</f>
        <v/>
      </c>
      <c r="L424" s="50">
        <f>IF(A424="","",K424/12)</f>
        <v/>
      </c>
      <c r="M424" s="50">
        <f>IF(A424="","",K424/2080)</f>
        <v/>
      </c>
      <c r="N424" s="50">
        <f>IF(A424="","",B424+C424+D424+E424+I424+J424)</f>
        <v/>
      </c>
      <c r="O424" s="50">
        <f>IF(A424="","",N424*0.25)</f>
        <v/>
      </c>
      <c r="P424" s="50">
        <f>IF(A424="","",N424-O424)</f>
        <v/>
      </c>
      <c r="Q424" s="50">
        <f>IF(A424="","",ROUND(B424*0.4+C424*0.1+D424*0.1+E424*0.1+IF(G424="Yes",5000,0)*0.1+F424*500*0.1+IF(H424="Yes",5000,0)*0.1,0))</f>
        <v/>
      </c>
      <c r="R424" s="46">
        <f>IF(A424="","",ROUND(Q424/1000,1))</f>
        <v/>
      </c>
      <c r="S424" s="46">
        <f>IF(A424="","",RANK(R424,$R$2:$R$500,0))</f>
        <v/>
      </c>
    </row>
    <row r="425" ht="22" customHeight="1">
      <c r="A425" s="48" t="n"/>
      <c r="B425" s="51" t="n"/>
      <c r="C425" s="51" t="n"/>
      <c r="D425" s="51" t="n"/>
      <c r="E425" s="51" t="n"/>
      <c r="F425" s="48" t="n"/>
      <c r="G425" s="48" t="n"/>
      <c r="H425" s="48" t="n"/>
      <c r="I425" s="51" t="n"/>
      <c r="J425" s="51" t="n"/>
      <c r="K425" s="51">
        <f>IF(A425="","",B425+C425)</f>
        <v/>
      </c>
      <c r="L425" s="51">
        <f>IF(A425="","",K425/12)</f>
        <v/>
      </c>
      <c r="M425" s="51">
        <f>IF(A425="","",K425/2080)</f>
        <v/>
      </c>
      <c r="N425" s="51">
        <f>IF(A425="","",B425+C425+D425+E425+I425+J425)</f>
        <v/>
      </c>
      <c r="O425" s="51">
        <f>IF(A425="","",N425*0.25)</f>
        <v/>
      </c>
      <c r="P425" s="51">
        <f>IF(A425="","",N425-O425)</f>
        <v/>
      </c>
      <c r="Q425" s="51">
        <f>IF(A425="","",ROUND(B425*0.4+C425*0.1+D425*0.1+E425*0.1+IF(G425="Yes",5000,0)*0.1+F425*500*0.1+IF(H425="Yes",5000,0)*0.1,0))</f>
        <v/>
      </c>
      <c r="R425" s="48">
        <f>IF(A425="","",ROUND(Q425/1000,1))</f>
        <v/>
      </c>
      <c r="S425" s="48">
        <f>IF(A425="","",RANK(R425,$R$2:$R$500,0))</f>
        <v/>
      </c>
    </row>
    <row r="426" ht="22" customHeight="1">
      <c r="A426" s="46" t="n"/>
      <c r="B426" s="50" t="n"/>
      <c r="C426" s="50" t="n"/>
      <c r="D426" s="50" t="n"/>
      <c r="E426" s="50" t="n"/>
      <c r="F426" s="46" t="n"/>
      <c r="G426" s="46" t="n"/>
      <c r="H426" s="46" t="n"/>
      <c r="I426" s="50" t="n"/>
      <c r="J426" s="50" t="n"/>
      <c r="K426" s="50">
        <f>IF(A426="","",B426+C426)</f>
        <v/>
      </c>
      <c r="L426" s="50">
        <f>IF(A426="","",K426/12)</f>
        <v/>
      </c>
      <c r="M426" s="50">
        <f>IF(A426="","",K426/2080)</f>
        <v/>
      </c>
      <c r="N426" s="50">
        <f>IF(A426="","",B426+C426+D426+E426+I426+J426)</f>
        <v/>
      </c>
      <c r="O426" s="50">
        <f>IF(A426="","",N426*0.25)</f>
        <v/>
      </c>
      <c r="P426" s="50">
        <f>IF(A426="","",N426-O426)</f>
        <v/>
      </c>
      <c r="Q426" s="50">
        <f>IF(A426="","",ROUND(B426*0.4+C426*0.1+D426*0.1+E426*0.1+IF(G426="Yes",5000,0)*0.1+F426*500*0.1+IF(H426="Yes",5000,0)*0.1,0))</f>
        <v/>
      </c>
      <c r="R426" s="46">
        <f>IF(A426="","",ROUND(Q426/1000,1))</f>
        <v/>
      </c>
      <c r="S426" s="46">
        <f>IF(A426="","",RANK(R426,$R$2:$R$500,0))</f>
        <v/>
      </c>
    </row>
    <row r="427" ht="22" customHeight="1">
      <c r="A427" s="48" t="n"/>
      <c r="B427" s="51" t="n"/>
      <c r="C427" s="51" t="n"/>
      <c r="D427" s="51" t="n"/>
      <c r="E427" s="51" t="n"/>
      <c r="F427" s="48" t="n"/>
      <c r="G427" s="48" t="n"/>
      <c r="H427" s="48" t="n"/>
      <c r="I427" s="51" t="n"/>
      <c r="J427" s="51" t="n"/>
      <c r="K427" s="51">
        <f>IF(A427="","",B427+C427)</f>
        <v/>
      </c>
      <c r="L427" s="51">
        <f>IF(A427="","",K427/12)</f>
        <v/>
      </c>
      <c r="M427" s="51">
        <f>IF(A427="","",K427/2080)</f>
        <v/>
      </c>
      <c r="N427" s="51">
        <f>IF(A427="","",B427+C427+D427+E427+I427+J427)</f>
        <v/>
      </c>
      <c r="O427" s="51">
        <f>IF(A427="","",N427*0.25)</f>
        <v/>
      </c>
      <c r="P427" s="51">
        <f>IF(A427="","",N427-O427)</f>
        <v/>
      </c>
      <c r="Q427" s="51">
        <f>IF(A427="","",ROUND(B427*0.4+C427*0.1+D427*0.1+E427*0.1+IF(G427="Yes",5000,0)*0.1+F427*500*0.1+IF(H427="Yes",5000,0)*0.1,0))</f>
        <v/>
      </c>
      <c r="R427" s="48">
        <f>IF(A427="","",ROUND(Q427/1000,1))</f>
        <v/>
      </c>
      <c r="S427" s="48">
        <f>IF(A427="","",RANK(R427,$R$2:$R$500,0))</f>
        <v/>
      </c>
    </row>
    <row r="428" ht="22" customHeight="1">
      <c r="A428" s="46" t="n"/>
      <c r="B428" s="50" t="n"/>
      <c r="C428" s="50" t="n"/>
      <c r="D428" s="50" t="n"/>
      <c r="E428" s="50" t="n"/>
      <c r="F428" s="46" t="n"/>
      <c r="G428" s="46" t="n"/>
      <c r="H428" s="46" t="n"/>
      <c r="I428" s="50" t="n"/>
      <c r="J428" s="50" t="n"/>
      <c r="K428" s="50">
        <f>IF(A428="","",B428+C428)</f>
        <v/>
      </c>
      <c r="L428" s="50">
        <f>IF(A428="","",K428/12)</f>
        <v/>
      </c>
      <c r="M428" s="50">
        <f>IF(A428="","",K428/2080)</f>
        <v/>
      </c>
      <c r="N428" s="50">
        <f>IF(A428="","",B428+C428+D428+E428+I428+J428)</f>
        <v/>
      </c>
      <c r="O428" s="50">
        <f>IF(A428="","",N428*0.25)</f>
        <v/>
      </c>
      <c r="P428" s="50">
        <f>IF(A428="","",N428-O428)</f>
        <v/>
      </c>
      <c r="Q428" s="50">
        <f>IF(A428="","",ROUND(B428*0.4+C428*0.1+D428*0.1+E428*0.1+IF(G428="Yes",5000,0)*0.1+F428*500*0.1+IF(H428="Yes",5000,0)*0.1,0))</f>
        <v/>
      </c>
      <c r="R428" s="46">
        <f>IF(A428="","",ROUND(Q428/1000,1))</f>
        <v/>
      </c>
      <c r="S428" s="46">
        <f>IF(A428="","",RANK(R428,$R$2:$R$500,0))</f>
        <v/>
      </c>
    </row>
    <row r="429" ht="22" customHeight="1">
      <c r="A429" s="48" t="n"/>
      <c r="B429" s="51" t="n"/>
      <c r="C429" s="51" t="n"/>
      <c r="D429" s="51" t="n"/>
      <c r="E429" s="51" t="n"/>
      <c r="F429" s="48" t="n"/>
      <c r="G429" s="48" t="n"/>
      <c r="H429" s="48" t="n"/>
      <c r="I429" s="51" t="n"/>
      <c r="J429" s="51" t="n"/>
      <c r="K429" s="51">
        <f>IF(A429="","",B429+C429)</f>
        <v/>
      </c>
      <c r="L429" s="51">
        <f>IF(A429="","",K429/12)</f>
        <v/>
      </c>
      <c r="M429" s="51">
        <f>IF(A429="","",K429/2080)</f>
        <v/>
      </c>
      <c r="N429" s="51">
        <f>IF(A429="","",B429+C429+D429+E429+I429+J429)</f>
        <v/>
      </c>
      <c r="O429" s="51">
        <f>IF(A429="","",N429*0.25)</f>
        <v/>
      </c>
      <c r="P429" s="51">
        <f>IF(A429="","",N429-O429)</f>
        <v/>
      </c>
      <c r="Q429" s="51">
        <f>IF(A429="","",ROUND(B429*0.4+C429*0.1+D429*0.1+E429*0.1+IF(G429="Yes",5000,0)*0.1+F429*500*0.1+IF(H429="Yes",5000,0)*0.1,0))</f>
        <v/>
      </c>
      <c r="R429" s="48">
        <f>IF(A429="","",ROUND(Q429/1000,1))</f>
        <v/>
      </c>
      <c r="S429" s="48">
        <f>IF(A429="","",RANK(R429,$R$2:$R$500,0))</f>
        <v/>
      </c>
    </row>
    <row r="430" ht="22" customHeight="1">
      <c r="A430" s="46" t="n"/>
      <c r="B430" s="50" t="n"/>
      <c r="C430" s="50" t="n"/>
      <c r="D430" s="50" t="n"/>
      <c r="E430" s="50" t="n"/>
      <c r="F430" s="46" t="n"/>
      <c r="G430" s="46" t="n"/>
      <c r="H430" s="46" t="n"/>
      <c r="I430" s="50" t="n"/>
      <c r="J430" s="50" t="n"/>
      <c r="K430" s="50">
        <f>IF(A430="","",B430+C430)</f>
        <v/>
      </c>
      <c r="L430" s="50">
        <f>IF(A430="","",K430/12)</f>
        <v/>
      </c>
      <c r="M430" s="50">
        <f>IF(A430="","",K430/2080)</f>
        <v/>
      </c>
      <c r="N430" s="50">
        <f>IF(A430="","",B430+C430+D430+E430+I430+J430)</f>
        <v/>
      </c>
      <c r="O430" s="50">
        <f>IF(A430="","",N430*0.25)</f>
        <v/>
      </c>
      <c r="P430" s="50">
        <f>IF(A430="","",N430-O430)</f>
        <v/>
      </c>
      <c r="Q430" s="50">
        <f>IF(A430="","",ROUND(B430*0.4+C430*0.1+D430*0.1+E430*0.1+IF(G430="Yes",5000,0)*0.1+F430*500*0.1+IF(H430="Yes",5000,0)*0.1,0))</f>
        <v/>
      </c>
      <c r="R430" s="46">
        <f>IF(A430="","",ROUND(Q430/1000,1))</f>
        <v/>
      </c>
      <c r="S430" s="46">
        <f>IF(A430="","",RANK(R430,$R$2:$R$500,0))</f>
        <v/>
      </c>
    </row>
    <row r="431" ht="22" customHeight="1">
      <c r="A431" s="48" t="n"/>
      <c r="B431" s="51" t="n"/>
      <c r="C431" s="51" t="n"/>
      <c r="D431" s="51" t="n"/>
      <c r="E431" s="51" t="n"/>
      <c r="F431" s="48" t="n"/>
      <c r="G431" s="48" t="n"/>
      <c r="H431" s="48" t="n"/>
      <c r="I431" s="51" t="n"/>
      <c r="J431" s="51" t="n"/>
      <c r="K431" s="51">
        <f>IF(A431="","",B431+C431)</f>
        <v/>
      </c>
      <c r="L431" s="51">
        <f>IF(A431="","",K431/12)</f>
        <v/>
      </c>
      <c r="M431" s="51">
        <f>IF(A431="","",K431/2080)</f>
        <v/>
      </c>
      <c r="N431" s="51">
        <f>IF(A431="","",B431+C431+D431+E431+I431+J431)</f>
        <v/>
      </c>
      <c r="O431" s="51">
        <f>IF(A431="","",N431*0.25)</f>
        <v/>
      </c>
      <c r="P431" s="51">
        <f>IF(A431="","",N431-O431)</f>
        <v/>
      </c>
      <c r="Q431" s="51">
        <f>IF(A431="","",ROUND(B431*0.4+C431*0.1+D431*0.1+E431*0.1+IF(G431="Yes",5000,0)*0.1+F431*500*0.1+IF(H431="Yes",5000,0)*0.1,0))</f>
        <v/>
      </c>
      <c r="R431" s="48">
        <f>IF(A431="","",ROUND(Q431/1000,1))</f>
        <v/>
      </c>
      <c r="S431" s="48">
        <f>IF(A431="","",RANK(R431,$R$2:$R$500,0))</f>
        <v/>
      </c>
    </row>
    <row r="432" ht="22" customHeight="1">
      <c r="A432" s="46" t="n"/>
      <c r="B432" s="50" t="n"/>
      <c r="C432" s="50" t="n"/>
      <c r="D432" s="50" t="n"/>
      <c r="E432" s="50" t="n"/>
      <c r="F432" s="46" t="n"/>
      <c r="G432" s="46" t="n"/>
      <c r="H432" s="46" t="n"/>
      <c r="I432" s="50" t="n"/>
      <c r="J432" s="50" t="n"/>
      <c r="K432" s="50">
        <f>IF(A432="","",B432+C432)</f>
        <v/>
      </c>
      <c r="L432" s="50">
        <f>IF(A432="","",K432/12)</f>
        <v/>
      </c>
      <c r="M432" s="50">
        <f>IF(A432="","",K432/2080)</f>
        <v/>
      </c>
      <c r="N432" s="50">
        <f>IF(A432="","",B432+C432+D432+E432+I432+J432)</f>
        <v/>
      </c>
      <c r="O432" s="50">
        <f>IF(A432="","",N432*0.25)</f>
        <v/>
      </c>
      <c r="P432" s="50">
        <f>IF(A432="","",N432-O432)</f>
        <v/>
      </c>
      <c r="Q432" s="50">
        <f>IF(A432="","",ROUND(B432*0.4+C432*0.1+D432*0.1+E432*0.1+IF(G432="Yes",5000,0)*0.1+F432*500*0.1+IF(H432="Yes",5000,0)*0.1,0))</f>
        <v/>
      </c>
      <c r="R432" s="46">
        <f>IF(A432="","",ROUND(Q432/1000,1))</f>
        <v/>
      </c>
      <c r="S432" s="46">
        <f>IF(A432="","",RANK(R432,$R$2:$R$500,0))</f>
        <v/>
      </c>
    </row>
    <row r="433" ht="22" customHeight="1">
      <c r="A433" s="48" t="n"/>
      <c r="B433" s="51" t="n"/>
      <c r="C433" s="51" t="n"/>
      <c r="D433" s="51" t="n"/>
      <c r="E433" s="51" t="n"/>
      <c r="F433" s="48" t="n"/>
      <c r="G433" s="48" t="n"/>
      <c r="H433" s="48" t="n"/>
      <c r="I433" s="51" t="n"/>
      <c r="J433" s="51" t="n"/>
      <c r="K433" s="51">
        <f>IF(A433="","",B433+C433)</f>
        <v/>
      </c>
      <c r="L433" s="51">
        <f>IF(A433="","",K433/12)</f>
        <v/>
      </c>
      <c r="M433" s="51">
        <f>IF(A433="","",K433/2080)</f>
        <v/>
      </c>
      <c r="N433" s="51">
        <f>IF(A433="","",B433+C433+D433+E433+I433+J433)</f>
        <v/>
      </c>
      <c r="O433" s="51">
        <f>IF(A433="","",N433*0.25)</f>
        <v/>
      </c>
      <c r="P433" s="51">
        <f>IF(A433="","",N433-O433)</f>
        <v/>
      </c>
      <c r="Q433" s="51">
        <f>IF(A433="","",ROUND(B433*0.4+C433*0.1+D433*0.1+E433*0.1+IF(G433="Yes",5000,0)*0.1+F433*500*0.1+IF(H433="Yes",5000,0)*0.1,0))</f>
        <v/>
      </c>
      <c r="R433" s="48">
        <f>IF(A433="","",ROUND(Q433/1000,1))</f>
        <v/>
      </c>
      <c r="S433" s="48">
        <f>IF(A433="","",RANK(R433,$R$2:$R$500,0))</f>
        <v/>
      </c>
    </row>
    <row r="434" ht="22" customHeight="1">
      <c r="A434" s="46" t="n"/>
      <c r="B434" s="50" t="n"/>
      <c r="C434" s="50" t="n"/>
      <c r="D434" s="50" t="n"/>
      <c r="E434" s="50" t="n"/>
      <c r="F434" s="46" t="n"/>
      <c r="G434" s="46" t="n"/>
      <c r="H434" s="46" t="n"/>
      <c r="I434" s="50" t="n"/>
      <c r="J434" s="50" t="n"/>
      <c r="K434" s="50">
        <f>IF(A434="","",B434+C434)</f>
        <v/>
      </c>
      <c r="L434" s="50">
        <f>IF(A434="","",K434/12)</f>
        <v/>
      </c>
      <c r="M434" s="50">
        <f>IF(A434="","",K434/2080)</f>
        <v/>
      </c>
      <c r="N434" s="50">
        <f>IF(A434="","",B434+C434+D434+E434+I434+J434)</f>
        <v/>
      </c>
      <c r="O434" s="50">
        <f>IF(A434="","",N434*0.25)</f>
        <v/>
      </c>
      <c r="P434" s="50">
        <f>IF(A434="","",N434-O434)</f>
        <v/>
      </c>
      <c r="Q434" s="50">
        <f>IF(A434="","",ROUND(B434*0.4+C434*0.1+D434*0.1+E434*0.1+IF(G434="Yes",5000,0)*0.1+F434*500*0.1+IF(H434="Yes",5000,0)*0.1,0))</f>
        <v/>
      </c>
      <c r="R434" s="46">
        <f>IF(A434="","",ROUND(Q434/1000,1))</f>
        <v/>
      </c>
      <c r="S434" s="46">
        <f>IF(A434="","",RANK(R434,$R$2:$R$500,0))</f>
        <v/>
      </c>
    </row>
    <row r="435" ht="22" customHeight="1">
      <c r="A435" s="48" t="n"/>
      <c r="B435" s="51" t="n"/>
      <c r="C435" s="51" t="n"/>
      <c r="D435" s="51" t="n"/>
      <c r="E435" s="51" t="n"/>
      <c r="F435" s="48" t="n"/>
      <c r="G435" s="48" t="n"/>
      <c r="H435" s="48" t="n"/>
      <c r="I435" s="51" t="n"/>
      <c r="J435" s="51" t="n"/>
      <c r="K435" s="51">
        <f>IF(A435="","",B435+C435)</f>
        <v/>
      </c>
      <c r="L435" s="51">
        <f>IF(A435="","",K435/12)</f>
        <v/>
      </c>
      <c r="M435" s="51">
        <f>IF(A435="","",K435/2080)</f>
        <v/>
      </c>
      <c r="N435" s="51">
        <f>IF(A435="","",B435+C435+D435+E435+I435+J435)</f>
        <v/>
      </c>
      <c r="O435" s="51">
        <f>IF(A435="","",N435*0.25)</f>
        <v/>
      </c>
      <c r="P435" s="51">
        <f>IF(A435="","",N435-O435)</f>
        <v/>
      </c>
      <c r="Q435" s="51">
        <f>IF(A435="","",ROUND(B435*0.4+C435*0.1+D435*0.1+E435*0.1+IF(G435="Yes",5000,0)*0.1+F435*500*0.1+IF(H435="Yes",5000,0)*0.1,0))</f>
        <v/>
      </c>
      <c r="R435" s="48">
        <f>IF(A435="","",ROUND(Q435/1000,1))</f>
        <v/>
      </c>
      <c r="S435" s="48">
        <f>IF(A435="","",RANK(R435,$R$2:$R$500,0))</f>
        <v/>
      </c>
    </row>
    <row r="436" ht="22" customHeight="1">
      <c r="A436" s="46" t="n"/>
      <c r="B436" s="50" t="n"/>
      <c r="C436" s="50" t="n"/>
      <c r="D436" s="50" t="n"/>
      <c r="E436" s="50" t="n"/>
      <c r="F436" s="46" t="n"/>
      <c r="G436" s="46" t="n"/>
      <c r="H436" s="46" t="n"/>
      <c r="I436" s="50" t="n"/>
      <c r="J436" s="50" t="n"/>
      <c r="K436" s="50">
        <f>IF(A436="","",B436+C436)</f>
        <v/>
      </c>
      <c r="L436" s="50">
        <f>IF(A436="","",K436/12)</f>
        <v/>
      </c>
      <c r="M436" s="50">
        <f>IF(A436="","",K436/2080)</f>
        <v/>
      </c>
      <c r="N436" s="50">
        <f>IF(A436="","",B436+C436+D436+E436+I436+J436)</f>
        <v/>
      </c>
      <c r="O436" s="50">
        <f>IF(A436="","",N436*0.25)</f>
        <v/>
      </c>
      <c r="P436" s="50">
        <f>IF(A436="","",N436-O436)</f>
        <v/>
      </c>
      <c r="Q436" s="50">
        <f>IF(A436="","",ROUND(B436*0.4+C436*0.1+D436*0.1+E436*0.1+IF(G436="Yes",5000,0)*0.1+F436*500*0.1+IF(H436="Yes",5000,0)*0.1,0))</f>
        <v/>
      </c>
      <c r="R436" s="46">
        <f>IF(A436="","",ROUND(Q436/1000,1))</f>
        <v/>
      </c>
      <c r="S436" s="46">
        <f>IF(A436="","",RANK(R436,$R$2:$R$500,0))</f>
        <v/>
      </c>
    </row>
    <row r="437" ht="22" customHeight="1">
      <c r="A437" s="48" t="n"/>
      <c r="B437" s="51" t="n"/>
      <c r="C437" s="51" t="n"/>
      <c r="D437" s="51" t="n"/>
      <c r="E437" s="51" t="n"/>
      <c r="F437" s="48" t="n"/>
      <c r="G437" s="48" t="n"/>
      <c r="H437" s="48" t="n"/>
      <c r="I437" s="51" t="n"/>
      <c r="J437" s="51" t="n"/>
      <c r="K437" s="51">
        <f>IF(A437="","",B437+C437)</f>
        <v/>
      </c>
      <c r="L437" s="51">
        <f>IF(A437="","",K437/12)</f>
        <v/>
      </c>
      <c r="M437" s="51">
        <f>IF(A437="","",K437/2080)</f>
        <v/>
      </c>
      <c r="N437" s="51">
        <f>IF(A437="","",B437+C437+D437+E437+I437+J437)</f>
        <v/>
      </c>
      <c r="O437" s="51">
        <f>IF(A437="","",N437*0.25)</f>
        <v/>
      </c>
      <c r="P437" s="51">
        <f>IF(A437="","",N437-O437)</f>
        <v/>
      </c>
      <c r="Q437" s="51">
        <f>IF(A437="","",ROUND(B437*0.4+C437*0.1+D437*0.1+E437*0.1+IF(G437="Yes",5000,0)*0.1+F437*500*0.1+IF(H437="Yes",5000,0)*0.1,0))</f>
        <v/>
      </c>
      <c r="R437" s="48">
        <f>IF(A437="","",ROUND(Q437/1000,1))</f>
        <v/>
      </c>
      <c r="S437" s="48">
        <f>IF(A437="","",RANK(R437,$R$2:$R$500,0))</f>
        <v/>
      </c>
    </row>
    <row r="438" ht="22" customHeight="1">
      <c r="A438" s="46" t="n"/>
      <c r="B438" s="50" t="n"/>
      <c r="C438" s="50" t="n"/>
      <c r="D438" s="50" t="n"/>
      <c r="E438" s="50" t="n"/>
      <c r="F438" s="46" t="n"/>
      <c r="G438" s="46" t="n"/>
      <c r="H438" s="46" t="n"/>
      <c r="I438" s="50" t="n"/>
      <c r="J438" s="50" t="n"/>
      <c r="K438" s="50">
        <f>IF(A438="","",B438+C438)</f>
        <v/>
      </c>
      <c r="L438" s="50">
        <f>IF(A438="","",K438/12)</f>
        <v/>
      </c>
      <c r="M438" s="50">
        <f>IF(A438="","",K438/2080)</f>
        <v/>
      </c>
      <c r="N438" s="50">
        <f>IF(A438="","",B438+C438+D438+E438+I438+J438)</f>
        <v/>
      </c>
      <c r="O438" s="50">
        <f>IF(A438="","",N438*0.25)</f>
        <v/>
      </c>
      <c r="P438" s="50">
        <f>IF(A438="","",N438-O438)</f>
        <v/>
      </c>
      <c r="Q438" s="50">
        <f>IF(A438="","",ROUND(B438*0.4+C438*0.1+D438*0.1+E438*0.1+IF(G438="Yes",5000,0)*0.1+F438*500*0.1+IF(H438="Yes",5000,0)*0.1,0))</f>
        <v/>
      </c>
      <c r="R438" s="46">
        <f>IF(A438="","",ROUND(Q438/1000,1))</f>
        <v/>
      </c>
      <c r="S438" s="46">
        <f>IF(A438="","",RANK(R438,$R$2:$R$500,0))</f>
        <v/>
      </c>
    </row>
    <row r="439" ht="22" customHeight="1">
      <c r="A439" s="48" t="n"/>
      <c r="B439" s="51" t="n"/>
      <c r="C439" s="51" t="n"/>
      <c r="D439" s="51" t="n"/>
      <c r="E439" s="51" t="n"/>
      <c r="F439" s="48" t="n"/>
      <c r="G439" s="48" t="n"/>
      <c r="H439" s="48" t="n"/>
      <c r="I439" s="51" t="n"/>
      <c r="J439" s="51" t="n"/>
      <c r="K439" s="51">
        <f>IF(A439="","",B439+C439)</f>
        <v/>
      </c>
      <c r="L439" s="51">
        <f>IF(A439="","",K439/12)</f>
        <v/>
      </c>
      <c r="M439" s="51">
        <f>IF(A439="","",K439/2080)</f>
        <v/>
      </c>
      <c r="N439" s="51">
        <f>IF(A439="","",B439+C439+D439+E439+I439+J439)</f>
        <v/>
      </c>
      <c r="O439" s="51">
        <f>IF(A439="","",N439*0.25)</f>
        <v/>
      </c>
      <c r="P439" s="51">
        <f>IF(A439="","",N439-O439)</f>
        <v/>
      </c>
      <c r="Q439" s="51">
        <f>IF(A439="","",ROUND(B439*0.4+C439*0.1+D439*0.1+E439*0.1+IF(G439="Yes",5000,0)*0.1+F439*500*0.1+IF(H439="Yes",5000,0)*0.1,0))</f>
        <v/>
      </c>
      <c r="R439" s="48">
        <f>IF(A439="","",ROUND(Q439/1000,1))</f>
        <v/>
      </c>
      <c r="S439" s="48">
        <f>IF(A439="","",RANK(R439,$R$2:$R$500,0))</f>
        <v/>
      </c>
    </row>
    <row r="440" ht="22" customHeight="1">
      <c r="A440" s="46" t="n"/>
      <c r="B440" s="50" t="n"/>
      <c r="C440" s="50" t="n"/>
      <c r="D440" s="50" t="n"/>
      <c r="E440" s="50" t="n"/>
      <c r="F440" s="46" t="n"/>
      <c r="G440" s="46" t="n"/>
      <c r="H440" s="46" t="n"/>
      <c r="I440" s="50" t="n"/>
      <c r="J440" s="50" t="n"/>
      <c r="K440" s="50">
        <f>IF(A440="","",B440+C440)</f>
        <v/>
      </c>
      <c r="L440" s="50">
        <f>IF(A440="","",K440/12)</f>
        <v/>
      </c>
      <c r="M440" s="50">
        <f>IF(A440="","",K440/2080)</f>
        <v/>
      </c>
      <c r="N440" s="50">
        <f>IF(A440="","",B440+C440+D440+E440+I440+J440)</f>
        <v/>
      </c>
      <c r="O440" s="50">
        <f>IF(A440="","",N440*0.25)</f>
        <v/>
      </c>
      <c r="P440" s="50">
        <f>IF(A440="","",N440-O440)</f>
        <v/>
      </c>
      <c r="Q440" s="50">
        <f>IF(A440="","",ROUND(B440*0.4+C440*0.1+D440*0.1+E440*0.1+IF(G440="Yes",5000,0)*0.1+F440*500*0.1+IF(H440="Yes",5000,0)*0.1,0))</f>
        <v/>
      </c>
      <c r="R440" s="46">
        <f>IF(A440="","",ROUND(Q440/1000,1))</f>
        <v/>
      </c>
      <c r="S440" s="46">
        <f>IF(A440="","",RANK(R440,$R$2:$R$500,0))</f>
        <v/>
      </c>
    </row>
    <row r="441" ht="22" customHeight="1">
      <c r="A441" s="48" t="n"/>
      <c r="B441" s="51" t="n"/>
      <c r="C441" s="51" t="n"/>
      <c r="D441" s="51" t="n"/>
      <c r="E441" s="51" t="n"/>
      <c r="F441" s="48" t="n"/>
      <c r="G441" s="48" t="n"/>
      <c r="H441" s="48" t="n"/>
      <c r="I441" s="51" t="n"/>
      <c r="J441" s="51" t="n"/>
      <c r="K441" s="51">
        <f>IF(A441="","",B441+C441)</f>
        <v/>
      </c>
      <c r="L441" s="51">
        <f>IF(A441="","",K441/12)</f>
        <v/>
      </c>
      <c r="M441" s="51">
        <f>IF(A441="","",K441/2080)</f>
        <v/>
      </c>
      <c r="N441" s="51">
        <f>IF(A441="","",B441+C441+D441+E441+I441+J441)</f>
        <v/>
      </c>
      <c r="O441" s="51">
        <f>IF(A441="","",N441*0.25)</f>
        <v/>
      </c>
      <c r="P441" s="51">
        <f>IF(A441="","",N441-O441)</f>
        <v/>
      </c>
      <c r="Q441" s="51">
        <f>IF(A441="","",ROUND(B441*0.4+C441*0.1+D441*0.1+E441*0.1+IF(G441="Yes",5000,0)*0.1+F441*500*0.1+IF(H441="Yes",5000,0)*0.1,0))</f>
        <v/>
      </c>
      <c r="R441" s="48">
        <f>IF(A441="","",ROUND(Q441/1000,1))</f>
        <v/>
      </c>
      <c r="S441" s="48">
        <f>IF(A441="","",RANK(R441,$R$2:$R$500,0))</f>
        <v/>
      </c>
    </row>
    <row r="442" ht="22" customHeight="1">
      <c r="A442" s="46" t="n"/>
      <c r="B442" s="50" t="n"/>
      <c r="C442" s="50" t="n"/>
      <c r="D442" s="50" t="n"/>
      <c r="E442" s="50" t="n"/>
      <c r="F442" s="46" t="n"/>
      <c r="G442" s="46" t="n"/>
      <c r="H442" s="46" t="n"/>
      <c r="I442" s="50" t="n"/>
      <c r="J442" s="50" t="n"/>
      <c r="K442" s="50">
        <f>IF(A442="","",B442+C442)</f>
        <v/>
      </c>
      <c r="L442" s="50">
        <f>IF(A442="","",K442/12)</f>
        <v/>
      </c>
      <c r="M442" s="50">
        <f>IF(A442="","",K442/2080)</f>
        <v/>
      </c>
      <c r="N442" s="50">
        <f>IF(A442="","",B442+C442+D442+E442+I442+J442)</f>
        <v/>
      </c>
      <c r="O442" s="50">
        <f>IF(A442="","",N442*0.25)</f>
        <v/>
      </c>
      <c r="P442" s="50">
        <f>IF(A442="","",N442-O442)</f>
        <v/>
      </c>
      <c r="Q442" s="50">
        <f>IF(A442="","",ROUND(B442*0.4+C442*0.1+D442*0.1+E442*0.1+IF(G442="Yes",5000,0)*0.1+F442*500*0.1+IF(H442="Yes",5000,0)*0.1,0))</f>
        <v/>
      </c>
      <c r="R442" s="46">
        <f>IF(A442="","",ROUND(Q442/1000,1))</f>
        <v/>
      </c>
      <c r="S442" s="46">
        <f>IF(A442="","",RANK(R442,$R$2:$R$500,0))</f>
        <v/>
      </c>
    </row>
    <row r="443" ht="22" customHeight="1">
      <c r="A443" s="48" t="n"/>
      <c r="B443" s="51" t="n"/>
      <c r="C443" s="51" t="n"/>
      <c r="D443" s="51" t="n"/>
      <c r="E443" s="51" t="n"/>
      <c r="F443" s="48" t="n"/>
      <c r="G443" s="48" t="n"/>
      <c r="H443" s="48" t="n"/>
      <c r="I443" s="51" t="n"/>
      <c r="J443" s="51" t="n"/>
      <c r="K443" s="51">
        <f>IF(A443="","",B443+C443)</f>
        <v/>
      </c>
      <c r="L443" s="51">
        <f>IF(A443="","",K443/12)</f>
        <v/>
      </c>
      <c r="M443" s="51">
        <f>IF(A443="","",K443/2080)</f>
        <v/>
      </c>
      <c r="N443" s="51">
        <f>IF(A443="","",B443+C443+D443+E443+I443+J443)</f>
        <v/>
      </c>
      <c r="O443" s="51">
        <f>IF(A443="","",N443*0.25)</f>
        <v/>
      </c>
      <c r="P443" s="51">
        <f>IF(A443="","",N443-O443)</f>
        <v/>
      </c>
      <c r="Q443" s="51">
        <f>IF(A443="","",ROUND(B443*0.4+C443*0.1+D443*0.1+E443*0.1+IF(G443="Yes",5000,0)*0.1+F443*500*0.1+IF(H443="Yes",5000,0)*0.1,0))</f>
        <v/>
      </c>
      <c r="R443" s="48">
        <f>IF(A443="","",ROUND(Q443/1000,1))</f>
        <v/>
      </c>
      <c r="S443" s="48">
        <f>IF(A443="","",RANK(R443,$R$2:$R$500,0))</f>
        <v/>
      </c>
    </row>
    <row r="444" ht="22" customHeight="1">
      <c r="A444" s="46" t="n"/>
      <c r="B444" s="50" t="n"/>
      <c r="C444" s="50" t="n"/>
      <c r="D444" s="50" t="n"/>
      <c r="E444" s="50" t="n"/>
      <c r="F444" s="46" t="n"/>
      <c r="G444" s="46" t="n"/>
      <c r="H444" s="46" t="n"/>
      <c r="I444" s="50" t="n"/>
      <c r="J444" s="50" t="n"/>
      <c r="K444" s="50">
        <f>IF(A444="","",B444+C444)</f>
        <v/>
      </c>
      <c r="L444" s="50">
        <f>IF(A444="","",K444/12)</f>
        <v/>
      </c>
      <c r="M444" s="50">
        <f>IF(A444="","",K444/2080)</f>
        <v/>
      </c>
      <c r="N444" s="50">
        <f>IF(A444="","",B444+C444+D444+E444+I444+J444)</f>
        <v/>
      </c>
      <c r="O444" s="50">
        <f>IF(A444="","",N444*0.25)</f>
        <v/>
      </c>
      <c r="P444" s="50">
        <f>IF(A444="","",N444-O444)</f>
        <v/>
      </c>
      <c r="Q444" s="50">
        <f>IF(A444="","",ROUND(B444*0.4+C444*0.1+D444*0.1+E444*0.1+IF(G444="Yes",5000,0)*0.1+F444*500*0.1+IF(H444="Yes",5000,0)*0.1,0))</f>
        <v/>
      </c>
      <c r="R444" s="46">
        <f>IF(A444="","",ROUND(Q444/1000,1))</f>
        <v/>
      </c>
      <c r="S444" s="46">
        <f>IF(A444="","",RANK(R444,$R$2:$R$500,0))</f>
        <v/>
      </c>
    </row>
    <row r="445" ht="22" customHeight="1">
      <c r="A445" s="48" t="n"/>
      <c r="B445" s="51" t="n"/>
      <c r="C445" s="51" t="n"/>
      <c r="D445" s="51" t="n"/>
      <c r="E445" s="51" t="n"/>
      <c r="F445" s="48" t="n"/>
      <c r="G445" s="48" t="n"/>
      <c r="H445" s="48" t="n"/>
      <c r="I445" s="51" t="n"/>
      <c r="J445" s="51" t="n"/>
      <c r="K445" s="51">
        <f>IF(A445="","",B445+C445)</f>
        <v/>
      </c>
      <c r="L445" s="51">
        <f>IF(A445="","",K445/12)</f>
        <v/>
      </c>
      <c r="M445" s="51">
        <f>IF(A445="","",K445/2080)</f>
        <v/>
      </c>
      <c r="N445" s="51">
        <f>IF(A445="","",B445+C445+D445+E445+I445+J445)</f>
        <v/>
      </c>
      <c r="O445" s="51">
        <f>IF(A445="","",N445*0.25)</f>
        <v/>
      </c>
      <c r="P445" s="51">
        <f>IF(A445="","",N445-O445)</f>
        <v/>
      </c>
      <c r="Q445" s="51">
        <f>IF(A445="","",ROUND(B445*0.4+C445*0.1+D445*0.1+E445*0.1+IF(G445="Yes",5000,0)*0.1+F445*500*0.1+IF(H445="Yes",5000,0)*0.1,0))</f>
        <v/>
      </c>
      <c r="R445" s="48">
        <f>IF(A445="","",ROUND(Q445/1000,1))</f>
        <v/>
      </c>
      <c r="S445" s="48">
        <f>IF(A445="","",RANK(R445,$R$2:$R$500,0))</f>
        <v/>
      </c>
    </row>
    <row r="446" ht="22" customHeight="1">
      <c r="A446" s="46" t="n"/>
      <c r="B446" s="50" t="n"/>
      <c r="C446" s="50" t="n"/>
      <c r="D446" s="50" t="n"/>
      <c r="E446" s="50" t="n"/>
      <c r="F446" s="46" t="n"/>
      <c r="G446" s="46" t="n"/>
      <c r="H446" s="46" t="n"/>
      <c r="I446" s="50" t="n"/>
      <c r="J446" s="50" t="n"/>
      <c r="K446" s="50">
        <f>IF(A446="","",B446+C446)</f>
        <v/>
      </c>
      <c r="L446" s="50">
        <f>IF(A446="","",K446/12)</f>
        <v/>
      </c>
      <c r="M446" s="50">
        <f>IF(A446="","",K446/2080)</f>
        <v/>
      </c>
      <c r="N446" s="50">
        <f>IF(A446="","",B446+C446+D446+E446+I446+J446)</f>
        <v/>
      </c>
      <c r="O446" s="50">
        <f>IF(A446="","",N446*0.25)</f>
        <v/>
      </c>
      <c r="P446" s="50">
        <f>IF(A446="","",N446-O446)</f>
        <v/>
      </c>
      <c r="Q446" s="50">
        <f>IF(A446="","",ROUND(B446*0.4+C446*0.1+D446*0.1+E446*0.1+IF(G446="Yes",5000,0)*0.1+F446*500*0.1+IF(H446="Yes",5000,0)*0.1,0))</f>
        <v/>
      </c>
      <c r="R446" s="46">
        <f>IF(A446="","",ROUND(Q446/1000,1))</f>
        <v/>
      </c>
      <c r="S446" s="46">
        <f>IF(A446="","",RANK(R446,$R$2:$R$500,0))</f>
        <v/>
      </c>
    </row>
    <row r="447" ht="22" customHeight="1">
      <c r="A447" s="48" t="n"/>
      <c r="B447" s="51" t="n"/>
      <c r="C447" s="51" t="n"/>
      <c r="D447" s="51" t="n"/>
      <c r="E447" s="51" t="n"/>
      <c r="F447" s="48" t="n"/>
      <c r="G447" s="48" t="n"/>
      <c r="H447" s="48" t="n"/>
      <c r="I447" s="51" t="n"/>
      <c r="J447" s="51" t="n"/>
      <c r="K447" s="51">
        <f>IF(A447="","",B447+C447)</f>
        <v/>
      </c>
      <c r="L447" s="51">
        <f>IF(A447="","",K447/12)</f>
        <v/>
      </c>
      <c r="M447" s="51">
        <f>IF(A447="","",K447/2080)</f>
        <v/>
      </c>
      <c r="N447" s="51">
        <f>IF(A447="","",B447+C447+D447+E447+I447+J447)</f>
        <v/>
      </c>
      <c r="O447" s="51">
        <f>IF(A447="","",N447*0.25)</f>
        <v/>
      </c>
      <c r="P447" s="51">
        <f>IF(A447="","",N447-O447)</f>
        <v/>
      </c>
      <c r="Q447" s="51">
        <f>IF(A447="","",ROUND(B447*0.4+C447*0.1+D447*0.1+E447*0.1+IF(G447="Yes",5000,0)*0.1+F447*500*0.1+IF(H447="Yes",5000,0)*0.1,0))</f>
        <v/>
      </c>
      <c r="R447" s="48">
        <f>IF(A447="","",ROUND(Q447/1000,1))</f>
        <v/>
      </c>
      <c r="S447" s="48">
        <f>IF(A447="","",RANK(R447,$R$2:$R$500,0))</f>
        <v/>
      </c>
    </row>
    <row r="448" ht="22" customHeight="1">
      <c r="A448" s="46" t="n"/>
      <c r="B448" s="50" t="n"/>
      <c r="C448" s="50" t="n"/>
      <c r="D448" s="50" t="n"/>
      <c r="E448" s="50" t="n"/>
      <c r="F448" s="46" t="n"/>
      <c r="G448" s="46" t="n"/>
      <c r="H448" s="46" t="n"/>
      <c r="I448" s="50" t="n"/>
      <c r="J448" s="50" t="n"/>
      <c r="K448" s="50">
        <f>IF(A448="","",B448+C448)</f>
        <v/>
      </c>
      <c r="L448" s="50">
        <f>IF(A448="","",K448/12)</f>
        <v/>
      </c>
      <c r="M448" s="50">
        <f>IF(A448="","",K448/2080)</f>
        <v/>
      </c>
      <c r="N448" s="50">
        <f>IF(A448="","",B448+C448+D448+E448+I448+J448)</f>
        <v/>
      </c>
      <c r="O448" s="50">
        <f>IF(A448="","",N448*0.25)</f>
        <v/>
      </c>
      <c r="P448" s="50">
        <f>IF(A448="","",N448-O448)</f>
        <v/>
      </c>
      <c r="Q448" s="50">
        <f>IF(A448="","",ROUND(B448*0.4+C448*0.1+D448*0.1+E448*0.1+IF(G448="Yes",5000,0)*0.1+F448*500*0.1+IF(H448="Yes",5000,0)*0.1,0))</f>
        <v/>
      </c>
      <c r="R448" s="46">
        <f>IF(A448="","",ROUND(Q448/1000,1))</f>
        <v/>
      </c>
      <c r="S448" s="46">
        <f>IF(A448="","",RANK(R448,$R$2:$R$500,0))</f>
        <v/>
      </c>
    </row>
    <row r="449" ht="22" customHeight="1">
      <c r="A449" s="48" t="n"/>
      <c r="B449" s="51" t="n"/>
      <c r="C449" s="51" t="n"/>
      <c r="D449" s="51" t="n"/>
      <c r="E449" s="51" t="n"/>
      <c r="F449" s="48" t="n"/>
      <c r="G449" s="48" t="n"/>
      <c r="H449" s="48" t="n"/>
      <c r="I449" s="51" t="n"/>
      <c r="J449" s="51" t="n"/>
      <c r="K449" s="51">
        <f>IF(A449="","",B449+C449)</f>
        <v/>
      </c>
      <c r="L449" s="51">
        <f>IF(A449="","",K449/12)</f>
        <v/>
      </c>
      <c r="M449" s="51">
        <f>IF(A449="","",K449/2080)</f>
        <v/>
      </c>
      <c r="N449" s="51">
        <f>IF(A449="","",B449+C449+D449+E449+I449+J449)</f>
        <v/>
      </c>
      <c r="O449" s="51">
        <f>IF(A449="","",N449*0.25)</f>
        <v/>
      </c>
      <c r="P449" s="51">
        <f>IF(A449="","",N449-O449)</f>
        <v/>
      </c>
      <c r="Q449" s="51">
        <f>IF(A449="","",ROUND(B449*0.4+C449*0.1+D449*0.1+E449*0.1+IF(G449="Yes",5000,0)*0.1+F449*500*0.1+IF(H449="Yes",5000,0)*0.1,0))</f>
        <v/>
      </c>
      <c r="R449" s="48">
        <f>IF(A449="","",ROUND(Q449/1000,1))</f>
        <v/>
      </c>
      <c r="S449" s="48">
        <f>IF(A449="","",RANK(R449,$R$2:$R$500,0))</f>
        <v/>
      </c>
    </row>
    <row r="450" ht="22" customHeight="1">
      <c r="A450" s="46" t="n"/>
      <c r="B450" s="50" t="n"/>
      <c r="C450" s="50" t="n"/>
      <c r="D450" s="50" t="n"/>
      <c r="E450" s="50" t="n"/>
      <c r="F450" s="46" t="n"/>
      <c r="G450" s="46" t="n"/>
      <c r="H450" s="46" t="n"/>
      <c r="I450" s="50" t="n"/>
      <c r="J450" s="50" t="n"/>
      <c r="K450" s="50">
        <f>IF(A450="","",B450+C450)</f>
        <v/>
      </c>
      <c r="L450" s="50">
        <f>IF(A450="","",K450/12)</f>
        <v/>
      </c>
      <c r="M450" s="50">
        <f>IF(A450="","",K450/2080)</f>
        <v/>
      </c>
      <c r="N450" s="50">
        <f>IF(A450="","",B450+C450+D450+E450+I450+J450)</f>
        <v/>
      </c>
      <c r="O450" s="50">
        <f>IF(A450="","",N450*0.25)</f>
        <v/>
      </c>
      <c r="P450" s="50">
        <f>IF(A450="","",N450-O450)</f>
        <v/>
      </c>
      <c r="Q450" s="50">
        <f>IF(A450="","",ROUND(B450*0.4+C450*0.1+D450*0.1+E450*0.1+IF(G450="Yes",5000,0)*0.1+F450*500*0.1+IF(H450="Yes",5000,0)*0.1,0))</f>
        <v/>
      </c>
      <c r="R450" s="46">
        <f>IF(A450="","",ROUND(Q450/1000,1))</f>
        <v/>
      </c>
      <c r="S450" s="46">
        <f>IF(A450="","",RANK(R450,$R$2:$R$500,0))</f>
        <v/>
      </c>
    </row>
    <row r="451" ht="22" customHeight="1">
      <c r="A451" s="48" t="n"/>
      <c r="B451" s="51" t="n"/>
      <c r="C451" s="51" t="n"/>
      <c r="D451" s="51" t="n"/>
      <c r="E451" s="51" t="n"/>
      <c r="F451" s="48" t="n"/>
      <c r="G451" s="48" t="n"/>
      <c r="H451" s="48" t="n"/>
      <c r="I451" s="51" t="n"/>
      <c r="J451" s="51" t="n"/>
      <c r="K451" s="51">
        <f>IF(A451="","",B451+C451)</f>
        <v/>
      </c>
      <c r="L451" s="51">
        <f>IF(A451="","",K451/12)</f>
        <v/>
      </c>
      <c r="M451" s="51">
        <f>IF(A451="","",K451/2080)</f>
        <v/>
      </c>
      <c r="N451" s="51">
        <f>IF(A451="","",B451+C451+D451+E451+I451+J451)</f>
        <v/>
      </c>
      <c r="O451" s="51">
        <f>IF(A451="","",N451*0.25)</f>
        <v/>
      </c>
      <c r="P451" s="51">
        <f>IF(A451="","",N451-O451)</f>
        <v/>
      </c>
      <c r="Q451" s="51">
        <f>IF(A451="","",ROUND(B451*0.4+C451*0.1+D451*0.1+E451*0.1+IF(G451="Yes",5000,0)*0.1+F451*500*0.1+IF(H451="Yes",5000,0)*0.1,0))</f>
        <v/>
      </c>
      <c r="R451" s="48">
        <f>IF(A451="","",ROUND(Q451/1000,1))</f>
        <v/>
      </c>
      <c r="S451" s="48">
        <f>IF(A451="","",RANK(R451,$R$2:$R$500,0))</f>
        <v/>
      </c>
    </row>
    <row r="452" ht="22" customHeight="1">
      <c r="A452" s="46" t="n"/>
      <c r="B452" s="50" t="n"/>
      <c r="C452" s="50" t="n"/>
      <c r="D452" s="50" t="n"/>
      <c r="E452" s="50" t="n"/>
      <c r="F452" s="46" t="n"/>
      <c r="G452" s="46" t="n"/>
      <c r="H452" s="46" t="n"/>
      <c r="I452" s="50" t="n"/>
      <c r="J452" s="50" t="n"/>
      <c r="K452" s="50">
        <f>IF(A452="","",B452+C452)</f>
        <v/>
      </c>
      <c r="L452" s="50">
        <f>IF(A452="","",K452/12)</f>
        <v/>
      </c>
      <c r="M452" s="50">
        <f>IF(A452="","",K452/2080)</f>
        <v/>
      </c>
      <c r="N452" s="50">
        <f>IF(A452="","",B452+C452+D452+E452+I452+J452)</f>
        <v/>
      </c>
      <c r="O452" s="50">
        <f>IF(A452="","",N452*0.25)</f>
        <v/>
      </c>
      <c r="P452" s="50">
        <f>IF(A452="","",N452-O452)</f>
        <v/>
      </c>
      <c r="Q452" s="50">
        <f>IF(A452="","",ROUND(B452*0.4+C452*0.1+D452*0.1+E452*0.1+IF(G452="Yes",5000,0)*0.1+F452*500*0.1+IF(H452="Yes",5000,0)*0.1,0))</f>
        <v/>
      </c>
      <c r="R452" s="46">
        <f>IF(A452="","",ROUND(Q452/1000,1))</f>
        <v/>
      </c>
      <c r="S452" s="46">
        <f>IF(A452="","",RANK(R452,$R$2:$R$500,0))</f>
        <v/>
      </c>
    </row>
    <row r="453" ht="22" customHeight="1">
      <c r="A453" s="48" t="n"/>
      <c r="B453" s="51" t="n"/>
      <c r="C453" s="51" t="n"/>
      <c r="D453" s="51" t="n"/>
      <c r="E453" s="51" t="n"/>
      <c r="F453" s="48" t="n"/>
      <c r="G453" s="48" t="n"/>
      <c r="H453" s="48" t="n"/>
      <c r="I453" s="51" t="n"/>
      <c r="J453" s="51" t="n"/>
      <c r="K453" s="51">
        <f>IF(A453="","",B453+C453)</f>
        <v/>
      </c>
      <c r="L453" s="51">
        <f>IF(A453="","",K453/12)</f>
        <v/>
      </c>
      <c r="M453" s="51">
        <f>IF(A453="","",K453/2080)</f>
        <v/>
      </c>
      <c r="N453" s="51">
        <f>IF(A453="","",B453+C453+D453+E453+I453+J453)</f>
        <v/>
      </c>
      <c r="O453" s="51">
        <f>IF(A453="","",N453*0.25)</f>
        <v/>
      </c>
      <c r="P453" s="51">
        <f>IF(A453="","",N453-O453)</f>
        <v/>
      </c>
      <c r="Q453" s="51">
        <f>IF(A453="","",ROUND(B453*0.4+C453*0.1+D453*0.1+E453*0.1+IF(G453="Yes",5000,0)*0.1+F453*500*0.1+IF(H453="Yes",5000,0)*0.1,0))</f>
        <v/>
      </c>
      <c r="R453" s="48">
        <f>IF(A453="","",ROUND(Q453/1000,1))</f>
        <v/>
      </c>
      <c r="S453" s="48">
        <f>IF(A453="","",RANK(R453,$R$2:$R$500,0))</f>
        <v/>
      </c>
    </row>
    <row r="454" ht="22" customHeight="1">
      <c r="A454" s="46" t="n"/>
      <c r="B454" s="50" t="n"/>
      <c r="C454" s="50" t="n"/>
      <c r="D454" s="50" t="n"/>
      <c r="E454" s="50" t="n"/>
      <c r="F454" s="46" t="n"/>
      <c r="G454" s="46" t="n"/>
      <c r="H454" s="46" t="n"/>
      <c r="I454" s="50" t="n"/>
      <c r="J454" s="50" t="n"/>
      <c r="K454" s="50">
        <f>IF(A454="","",B454+C454)</f>
        <v/>
      </c>
      <c r="L454" s="50">
        <f>IF(A454="","",K454/12)</f>
        <v/>
      </c>
      <c r="M454" s="50">
        <f>IF(A454="","",K454/2080)</f>
        <v/>
      </c>
      <c r="N454" s="50">
        <f>IF(A454="","",B454+C454+D454+E454+I454+J454)</f>
        <v/>
      </c>
      <c r="O454" s="50">
        <f>IF(A454="","",N454*0.25)</f>
        <v/>
      </c>
      <c r="P454" s="50">
        <f>IF(A454="","",N454-O454)</f>
        <v/>
      </c>
      <c r="Q454" s="50">
        <f>IF(A454="","",ROUND(B454*0.4+C454*0.1+D454*0.1+E454*0.1+IF(G454="Yes",5000,0)*0.1+F454*500*0.1+IF(H454="Yes",5000,0)*0.1,0))</f>
        <v/>
      </c>
      <c r="R454" s="46">
        <f>IF(A454="","",ROUND(Q454/1000,1))</f>
        <v/>
      </c>
      <c r="S454" s="46">
        <f>IF(A454="","",RANK(R454,$R$2:$R$500,0))</f>
        <v/>
      </c>
    </row>
    <row r="455" ht="22" customHeight="1">
      <c r="A455" s="48" t="n"/>
      <c r="B455" s="51" t="n"/>
      <c r="C455" s="51" t="n"/>
      <c r="D455" s="51" t="n"/>
      <c r="E455" s="51" t="n"/>
      <c r="F455" s="48" t="n"/>
      <c r="G455" s="48" t="n"/>
      <c r="H455" s="48" t="n"/>
      <c r="I455" s="51" t="n"/>
      <c r="J455" s="51" t="n"/>
      <c r="K455" s="51">
        <f>IF(A455="","",B455+C455)</f>
        <v/>
      </c>
      <c r="L455" s="51">
        <f>IF(A455="","",K455/12)</f>
        <v/>
      </c>
      <c r="M455" s="51">
        <f>IF(A455="","",K455/2080)</f>
        <v/>
      </c>
      <c r="N455" s="51">
        <f>IF(A455="","",B455+C455+D455+E455+I455+J455)</f>
        <v/>
      </c>
      <c r="O455" s="51">
        <f>IF(A455="","",N455*0.25)</f>
        <v/>
      </c>
      <c r="P455" s="51">
        <f>IF(A455="","",N455-O455)</f>
        <v/>
      </c>
      <c r="Q455" s="51">
        <f>IF(A455="","",ROUND(B455*0.4+C455*0.1+D455*0.1+E455*0.1+IF(G455="Yes",5000,0)*0.1+F455*500*0.1+IF(H455="Yes",5000,0)*0.1,0))</f>
        <v/>
      </c>
      <c r="R455" s="48">
        <f>IF(A455="","",ROUND(Q455/1000,1))</f>
        <v/>
      </c>
      <c r="S455" s="48">
        <f>IF(A455="","",RANK(R455,$R$2:$R$500,0))</f>
        <v/>
      </c>
    </row>
    <row r="456" ht="22" customHeight="1">
      <c r="A456" s="46" t="n"/>
      <c r="B456" s="50" t="n"/>
      <c r="C456" s="50" t="n"/>
      <c r="D456" s="50" t="n"/>
      <c r="E456" s="50" t="n"/>
      <c r="F456" s="46" t="n"/>
      <c r="G456" s="46" t="n"/>
      <c r="H456" s="46" t="n"/>
      <c r="I456" s="50" t="n"/>
      <c r="J456" s="50" t="n"/>
      <c r="K456" s="50">
        <f>IF(A456="","",B456+C456)</f>
        <v/>
      </c>
      <c r="L456" s="50">
        <f>IF(A456="","",K456/12)</f>
        <v/>
      </c>
      <c r="M456" s="50">
        <f>IF(A456="","",K456/2080)</f>
        <v/>
      </c>
      <c r="N456" s="50">
        <f>IF(A456="","",B456+C456+D456+E456+I456+J456)</f>
        <v/>
      </c>
      <c r="O456" s="50">
        <f>IF(A456="","",N456*0.25)</f>
        <v/>
      </c>
      <c r="P456" s="50">
        <f>IF(A456="","",N456-O456)</f>
        <v/>
      </c>
      <c r="Q456" s="50">
        <f>IF(A456="","",ROUND(B456*0.4+C456*0.1+D456*0.1+E456*0.1+IF(G456="Yes",5000,0)*0.1+F456*500*0.1+IF(H456="Yes",5000,0)*0.1,0))</f>
        <v/>
      </c>
      <c r="R456" s="46">
        <f>IF(A456="","",ROUND(Q456/1000,1))</f>
        <v/>
      </c>
      <c r="S456" s="46">
        <f>IF(A456="","",RANK(R456,$R$2:$R$500,0))</f>
        <v/>
      </c>
    </row>
    <row r="457" ht="22" customHeight="1">
      <c r="A457" s="48" t="n"/>
      <c r="B457" s="51" t="n"/>
      <c r="C457" s="51" t="n"/>
      <c r="D457" s="51" t="n"/>
      <c r="E457" s="51" t="n"/>
      <c r="F457" s="48" t="n"/>
      <c r="G457" s="48" t="n"/>
      <c r="H457" s="48" t="n"/>
      <c r="I457" s="51" t="n"/>
      <c r="J457" s="51" t="n"/>
      <c r="K457" s="51">
        <f>IF(A457="","",B457+C457)</f>
        <v/>
      </c>
      <c r="L457" s="51">
        <f>IF(A457="","",K457/12)</f>
        <v/>
      </c>
      <c r="M457" s="51">
        <f>IF(A457="","",K457/2080)</f>
        <v/>
      </c>
      <c r="N457" s="51">
        <f>IF(A457="","",B457+C457+D457+E457+I457+J457)</f>
        <v/>
      </c>
      <c r="O457" s="51">
        <f>IF(A457="","",N457*0.25)</f>
        <v/>
      </c>
      <c r="P457" s="51">
        <f>IF(A457="","",N457-O457)</f>
        <v/>
      </c>
      <c r="Q457" s="51">
        <f>IF(A457="","",ROUND(B457*0.4+C457*0.1+D457*0.1+E457*0.1+IF(G457="Yes",5000,0)*0.1+F457*500*0.1+IF(H457="Yes",5000,0)*0.1,0))</f>
        <v/>
      </c>
      <c r="R457" s="48">
        <f>IF(A457="","",ROUND(Q457/1000,1))</f>
        <v/>
      </c>
      <c r="S457" s="48">
        <f>IF(A457="","",RANK(R457,$R$2:$R$500,0))</f>
        <v/>
      </c>
    </row>
    <row r="458" ht="22" customHeight="1">
      <c r="A458" s="46" t="n"/>
      <c r="B458" s="50" t="n"/>
      <c r="C458" s="50" t="n"/>
      <c r="D458" s="50" t="n"/>
      <c r="E458" s="50" t="n"/>
      <c r="F458" s="46" t="n"/>
      <c r="G458" s="46" t="n"/>
      <c r="H458" s="46" t="n"/>
      <c r="I458" s="50" t="n"/>
      <c r="J458" s="50" t="n"/>
      <c r="K458" s="50">
        <f>IF(A458="","",B458+C458)</f>
        <v/>
      </c>
      <c r="L458" s="50">
        <f>IF(A458="","",K458/12)</f>
        <v/>
      </c>
      <c r="M458" s="50">
        <f>IF(A458="","",K458/2080)</f>
        <v/>
      </c>
      <c r="N458" s="50">
        <f>IF(A458="","",B458+C458+D458+E458+I458+J458)</f>
        <v/>
      </c>
      <c r="O458" s="50">
        <f>IF(A458="","",N458*0.25)</f>
        <v/>
      </c>
      <c r="P458" s="50">
        <f>IF(A458="","",N458-O458)</f>
        <v/>
      </c>
      <c r="Q458" s="50">
        <f>IF(A458="","",ROUND(B458*0.4+C458*0.1+D458*0.1+E458*0.1+IF(G458="Yes",5000,0)*0.1+F458*500*0.1+IF(H458="Yes",5000,0)*0.1,0))</f>
        <v/>
      </c>
      <c r="R458" s="46">
        <f>IF(A458="","",ROUND(Q458/1000,1))</f>
        <v/>
      </c>
      <c r="S458" s="46">
        <f>IF(A458="","",RANK(R458,$R$2:$R$500,0))</f>
        <v/>
      </c>
    </row>
    <row r="459" ht="22" customHeight="1">
      <c r="A459" s="48" t="n"/>
      <c r="B459" s="51" t="n"/>
      <c r="C459" s="51" t="n"/>
      <c r="D459" s="51" t="n"/>
      <c r="E459" s="51" t="n"/>
      <c r="F459" s="48" t="n"/>
      <c r="G459" s="48" t="n"/>
      <c r="H459" s="48" t="n"/>
      <c r="I459" s="51" t="n"/>
      <c r="J459" s="51" t="n"/>
      <c r="K459" s="51">
        <f>IF(A459="","",B459+C459)</f>
        <v/>
      </c>
      <c r="L459" s="51">
        <f>IF(A459="","",K459/12)</f>
        <v/>
      </c>
      <c r="M459" s="51">
        <f>IF(A459="","",K459/2080)</f>
        <v/>
      </c>
      <c r="N459" s="51">
        <f>IF(A459="","",B459+C459+D459+E459+I459+J459)</f>
        <v/>
      </c>
      <c r="O459" s="51">
        <f>IF(A459="","",N459*0.25)</f>
        <v/>
      </c>
      <c r="P459" s="51">
        <f>IF(A459="","",N459-O459)</f>
        <v/>
      </c>
      <c r="Q459" s="51">
        <f>IF(A459="","",ROUND(B459*0.4+C459*0.1+D459*0.1+E459*0.1+IF(G459="Yes",5000,0)*0.1+F459*500*0.1+IF(H459="Yes",5000,0)*0.1,0))</f>
        <v/>
      </c>
      <c r="R459" s="48">
        <f>IF(A459="","",ROUND(Q459/1000,1))</f>
        <v/>
      </c>
      <c r="S459" s="48">
        <f>IF(A459="","",RANK(R459,$R$2:$R$500,0))</f>
        <v/>
      </c>
    </row>
    <row r="460" ht="22" customHeight="1">
      <c r="A460" s="46" t="n"/>
      <c r="B460" s="50" t="n"/>
      <c r="C460" s="50" t="n"/>
      <c r="D460" s="50" t="n"/>
      <c r="E460" s="50" t="n"/>
      <c r="F460" s="46" t="n"/>
      <c r="G460" s="46" t="n"/>
      <c r="H460" s="46" t="n"/>
      <c r="I460" s="50" t="n"/>
      <c r="J460" s="50" t="n"/>
      <c r="K460" s="50">
        <f>IF(A460="","",B460+C460)</f>
        <v/>
      </c>
      <c r="L460" s="50">
        <f>IF(A460="","",K460/12)</f>
        <v/>
      </c>
      <c r="M460" s="50">
        <f>IF(A460="","",K460/2080)</f>
        <v/>
      </c>
      <c r="N460" s="50">
        <f>IF(A460="","",B460+C460+D460+E460+I460+J460)</f>
        <v/>
      </c>
      <c r="O460" s="50">
        <f>IF(A460="","",N460*0.25)</f>
        <v/>
      </c>
      <c r="P460" s="50">
        <f>IF(A460="","",N460-O460)</f>
        <v/>
      </c>
      <c r="Q460" s="50">
        <f>IF(A460="","",ROUND(B460*0.4+C460*0.1+D460*0.1+E460*0.1+IF(G460="Yes",5000,0)*0.1+F460*500*0.1+IF(H460="Yes",5000,0)*0.1,0))</f>
        <v/>
      </c>
      <c r="R460" s="46">
        <f>IF(A460="","",ROUND(Q460/1000,1))</f>
        <v/>
      </c>
      <c r="S460" s="46">
        <f>IF(A460="","",RANK(R460,$R$2:$R$500,0))</f>
        <v/>
      </c>
    </row>
    <row r="461" ht="22" customHeight="1">
      <c r="A461" s="48" t="n"/>
      <c r="B461" s="51" t="n"/>
      <c r="C461" s="51" t="n"/>
      <c r="D461" s="51" t="n"/>
      <c r="E461" s="51" t="n"/>
      <c r="F461" s="48" t="n"/>
      <c r="G461" s="48" t="n"/>
      <c r="H461" s="48" t="n"/>
      <c r="I461" s="51" t="n"/>
      <c r="J461" s="51" t="n"/>
      <c r="K461" s="51">
        <f>IF(A461="","",B461+C461)</f>
        <v/>
      </c>
      <c r="L461" s="51">
        <f>IF(A461="","",K461/12)</f>
        <v/>
      </c>
      <c r="M461" s="51">
        <f>IF(A461="","",K461/2080)</f>
        <v/>
      </c>
      <c r="N461" s="51">
        <f>IF(A461="","",B461+C461+D461+E461+I461+J461)</f>
        <v/>
      </c>
      <c r="O461" s="51">
        <f>IF(A461="","",N461*0.25)</f>
        <v/>
      </c>
      <c r="P461" s="51">
        <f>IF(A461="","",N461-O461)</f>
        <v/>
      </c>
      <c r="Q461" s="51">
        <f>IF(A461="","",ROUND(B461*0.4+C461*0.1+D461*0.1+E461*0.1+IF(G461="Yes",5000,0)*0.1+F461*500*0.1+IF(H461="Yes",5000,0)*0.1,0))</f>
        <v/>
      </c>
      <c r="R461" s="48">
        <f>IF(A461="","",ROUND(Q461/1000,1))</f>
        <v/>
      </c>
      <c r="S461" s="48">
        <f>IF(A461="","",RANK(R461,$R$2:$R$500,0))</f>
        <v/>
      </c>
    </row>
    <row r="462" ht="22" customHeight="1">
      <c r="A462" s="46" t="n"/>
      <c r="B462" s="50" t="n"/>
      <c r="C462" s="50" t="n"/>
      <c r="D462" s="50" t="n"/>
      <c r="E462" s="50" t="n"/>
      <c r="F462" s="46" t="n"/>
      <c r="G462" s="46" t="n"/>
      <c r="H462" s="46" t="n"/>
      <c r="I462" s="50" t="n"/>
      <c r="J462" s="50" t="n"/>
      <c r="K462" s="50">
        <f>IF(A462="","",B462+C462)</f>
        <v/>
      </c>
      <c r="L462" s="50">
        <f>IF(A462="","",K462/12)</f>
        <v/>
      </c>
      <c r="M462" s="50">
        <f>IF(A462="","",K462/2080)</f>
        <v/>
      </c>
      <c r="N462" s="50">
        <f>IF(A462="","",B462+C462+D462+E462+I462+J462)</f>
        <v/>
      </c>
      <c r="O462" s="50">
        <f>IF(A462="","",N462*0.25)</f>
        <v/>
      </c>
      <c r="P462" s="50">
        <f>IF(A462="","",N462-O462)</f>
        <v/>
      </c>
      <c r="Q462" s="50">
        <f>IF(A462="","",ROUND(B462*0.4+C462*0.1+D462*0.1+E462*0.1+IF(G462="Yes",5000,0)*0.1+F462*500*0.1+IF(H462="Yes",5000,0)*0.1,0))</f>
        <v/>
      </c>
      <c r="R462" s="46">
        <f>IF(A462="","",ROUND(Q462/1000,1))</f>
        <v/>
      </c>
      <c r="S462" s="46">
        <f>IF(A462="","",RANK(R462,$R$2:$R$500,0))</f>
        <v/>
      </c>
    </row>
    <row r="463" ht="22" customHeight="1">
      <c r="A463" s="48" t="n"/>
      <c r="B463" s="51" t="n"/>
      <c r="C463" s="51" t="n"/>
      <c r="D463" s="51" t="n"/>
      <c r="E463" s="51" t="n"/>
      <c r="F463" s="48" t="n"/>
      <c r="G463" s="48" t="n"/>
      <c r="H463" s="48" t="n"/>
      <c r="I463" s="51" t="n"/>
      <c r="J463" s="51" t="n"/>
      <c r="K463" s="51">
        <f>IF(A463="","",B463+C463)</f>
        <v/>
      </c>
      <c r="L463" s="51">
        <f>IF(A463="","",K463/12)</f>
        <v/>
      </c>
      <c r="M463" s="51">
        <f>IF(A463="","",K463/2080)</f>
        <v/>
      </c>
      <c r="N463" s="51">
        <f>IF(A463="","",B463+C463+D463+E463+I463+J463)</f>
        <v/>
      </c>
      <c r="O463" s="51">
        <f>IF(A463="","",N463*0.25)</f>
        <v/>
      </c>
      <c r="P463" s="51">
        <f>IF(A463="","",N463-O463)</f>
        <v/>
      </c>
      <c r="Q463" s="51">
        <f>IF(A463="","",ROUND(B463*0.4+C463*0.1+D463*0.1+E463*0.1+IF(G463="Yes",5000,0)*0.1+F463*500*0.1+IF(H463="Yes",5000,0)*0.1,0))</f>
        <v/>
      </c>
      <c r="R463" s="48">
        <f>IF(A463="","",ROUND(Q463/1000,1))</f>
        <v/>
      </c>
      <c r="S463" s="48">
        <f>IF(A463="","",RANK(R463,$R$2:$R$500,0))</f>
        <v/>
      </c>
    </row>
    <row r="464" ht="22" customHeight="1">
      <c r="A464" s="46" t="n"/>
      <c r="B464" s="50" t="n"/>
      <c r="C464" s="50" t="n"/>
      <c r="D464" s="50" t="n"/>
      <c r="E464" s="50" t="n"/>
      <c r="F464" s="46" t="n"/>
      <c r="G464" s="46" t="n"/>
      <c r="H464" s="46" t="n"/>
      <c r="I464" s="50" t="n"/>
      <c r="J464" s="50" t="n"/>
      <c r="K464" s="50">
        <f>IF(A464="","",B464+C464)</f>
        <v/>
      </c>
      <c r="L464" s="50">
        <f>IF(A464="","",K464/12)</f>
        <v/>
      </c>
      <c r="M464" s="50">
        <f>IF(A464="","",K464/2080)</f>
        <v/>
      </c>
      <c r="N464" s="50">
        <f>IF(A464="","",B464+C464+D464+E464+I464+J464)</f>
        <v/>
      </c>
      <c r="O464" s="50">
        <f>IF(A464="","",N464*0.25)</f>
        <v/>
      </c>
      <c r="P464" s="50">
        <f>IF(A464="","",N464-O464)</f>
        <v/>
      </c>
      <c r="Q464" s="50">
        <f>IF(A464="","",ROUND(B464*0.4+C464*0.1+D464*0.1+E464*0.1+IF(G464="Yes",5000,0)*0.1+F464*500*0.1+IF(H464="Yes",5000,0)*0.1,0))</f>
        <v/>
      </c>
      <c r="R464" s="46">
        <f>IF(A464="","",ROUND(Q464/1000,1))</f>
        <v/>
      </c>
      <c r="S464" s="46">
        <f>IF(A464="","",RANK(R464,$R$2:$R$500,0))</f>
        <v/>
      </c>
    </row>
    <row r="465" ht="22" customHeight="1">
      <c r="A465" s="48" t="n"/>
      <c r="B465" s="51" t="n"/>
      <c r="C465" s="51" t="n"/>
      <c r="D465" s="51" t="n"/>
      <c r="E465" s="51" t="n"/>
      <c r="F465" s="48" t="n"/>
      <c r="G465" s="48" t="n"/>
      <c r="H465" s="48" t="n"/>
      <c r="I465" s="51" t="n"/>
      <c r="J465" s="51" t="n"/>
      <c r="K465" s="51">
        <f>IF(A465="","",B465+C465)</f>
        <v/>
      </c>
      <c r="L465" s="51">
        <f>IF(A465="","",K465/12)</f>
        <v/>
      </c>
      <c r="M465" s="51">
        <f>IF(A465="","",K465/2080)</f>
        <v/>
      </c>
      <c r="N465" s="51">
        <f>IF(A465="","",B465+C465+D465+E465+I465+J465)</f>
        <v/>
      </c>
      <c r="O465" s="51">
        <f>IF(A465="","",N465*0.25)</f>
        <v/>
      </c>
      <c r="P465" s="51">
        <f>IF(A465="","",N465-O465)</f>
        <v/>
      </c>
      <c r="Q465" s="51">
        <f>IF(A465="","",ROUND(B465*0.4+C465*0.1+D465*0.1+E465*0.1+IF(G465="Yes",5000,0)*0.1+F465*500*0.1+IF(H465="Yes",5000,0)*0.1,0))</f>
        <v/>
      </c>
      <c r="R465" s="48">
        <f>IF(A465="","",ROUND(Q465/1000,1))</f>
        <v/>
      </c>
      <c r="S465" s="48">
        <f>IF(A465="","",RANK(R465,$R$2:$R$500,0))</f>
        <v/>
      </c>
    </row>
    <row r="466" ht="22" customHeight="1">
      <c r="A466" s="46" t="n"/>
      <c r="B466" s="50" t="n"/>
      <c r="C466" s="50" t="n"/>
      <c r="D466" s="50" t="n"/>
      <c r="E466" s="50" t="n"/>
      <c r="F466" s="46" t="n"/>
      <c r="G466" s="46" t="n"/>
      <c r="H466" s="46" t="n"/>
      <c r="I466" s="50" t="n"/>
      <c r="J466" s="50" t="n"/>
      <c r="K466" s="50">
        <f>IF(A466="","",B466+C466)</f>
        <v/>
      </c>
      <c r="L466" s="50">
        <f>IF(A466="","",K466/12)</f>
        <v/>
      </c>
      <c r="M466" s="50">
        <f>IF(A466="","",K466/2080)</f>
        <v/>
      </c>
      <c r="N466" s="50">
        <f>IF(A466="","",B466+C466+D466+E466+I466+J466)</f>
        <v/>
      </c>
      <c r="O466" s="50">
        <f>IF(A466="","",N466*0.25)</f>
        <v/>
      </c>
      <c r="P466" s="50">
        <f>IF(A466="","",N466-O466)</f>
        <v/>
      </c>
      <c r="Q466" s="50">
        <f>IF(A466="","",ROUND(B466*0.4+C466*0.1+D466*0.1+E466*0.1+IF(G466="Yes",5000,0)*0.1+F466*500*0.1+IF(H466="Yes",5000,0)*0.1,0))</f>
        <v/>
      </c>
      <c r="R466" s="46">
        <f>IF(A466="","",ROUND(Q466/1000,1))</f>
        <v/>
      </c>
      <c r="S466" s="46">
        <f>IF(A466="","",RANK(R466,$R$2:$R$500,0))</f>
        <v/>
      </c>
    </row>
    <row r="467" ht="22" customHeight="1">
      <c r="A467" s="48" t="n"/>
      <c r="B467" s="51" t="n"/>
      <c r="C467" s="51" t="n"/>
      <c r="D467" s="51" t="n"/>
      <c r="E467" s="51" t="n"/>
      <c r="F467" s="48" t="n"/>
      <c r="G467" s="48" t="n"/>
      <c r="H467" s="48" t="n"/>
      <c r="I467" s="51" t="n"/>
      <c r="J467" s="51" t="n"/>
      <c r="K467" s="51">
        <f>IF(A467="","",B467+C467)</f>
        <v/>
      </c>
      <c r="L467" s="51">
        <f>IF(A467="","",K467/12)</f>
        <v/>
      </c>
      <c r="M467" s="51">
        <f>IF(A467="","",K467/2080)</f>
        <v/>
      </c>
      <c r="N467" s="51">
        <f>IF(A467="","",B467+C467+D467+E467+I467+J467)</f>
        <v/>
      </c>
      <c r="O467" s="51">
        <f>IF(A467="","",N467*0.25)</f>
        <v/>
      </c>
      <c r="P467" s="51">
        <f>IF(A467="","",N467-O467)</f>
        <v/>
      </c>
      <c r="Q467" s="51">
        <f>IF(A467="","",ROUND(B467*0.4+C467*0.1+D467*0.1+E467*0.1+IF(G467="Yes",5000,0)*0.1+F467*500*0.1+IF(H467="Yes",5000,0)*0.1,0))</f>
        <v/>
      </c>
      <c r="R467" s="48">
        <f>IF(A467="","",ROUND(Q467/1000,1))</f>
        <v/>
      </c>
      <c r="S467" s="48">
        <f>IF(A467="","",RANK(R467,$R$2:$R$500,0))</f>
        <v/>
      </c>
    </row>
    <row r="468" ht="22" customHeight="1">
      <c r="A468" s="46" t="n"/>
      <c r="B468" s="50" t="n"/>
      <c r="C468" s="50" t="n"/>
      <c r="D468" s="50" t="n"/>
      <c r="E468" s="50" t="n"/>
      <c r="F468" s="46" t="n"/>
      <c r="G468" s="46" t="n"/>
      <c r="H468" s="46" t="n"/>
      <c r="I468" s="50" t="n"/>
      <c r="J468" s="50" t="n"/>
      <c r="K468" s="50">
        <f>IF(A468="","",B468+C468)</f>
        <v/>
      </c>
      <c r="L468" s="50">
        <f>IF(A468="","",K468/12)</f>
        <v/>
      </c>
      <c r="M468" s="50">
        <f>IF(A468="","",K468/2080)</f>
        <v/>
      </c>
      <c r="N468" s="50">
        <f>IF(A468="","",B468+C468+D468+E468+I468+J468)</f>
        <v/>
      </c>
      <c r="O468" s="50">
        <f>IF(A468="","",N468*0.25)</f>
        <v/>
      </c>
      <c r="P468" s="50">
        <f>IF(A468="","",N468-O468)</f>
        <v/>
      </c>
      <c r="Q468" s="50">
        <f>IF(A468="","",ROUND(B468*0.4+C468*0.1+D468*0.1+E468*0.1+IF(G468="Yes",5000,0)*0.1+F468*500*0.1+IF(H468="Yes",5000,0)*0.1,0))</f>
        <v/>
      </c>
      <c r="R468" s="46">
        <f>IF(A468="","",ROUND(Q468/1000,1))</f>
        <v/>
      </c>
      <c r="S468" s="46">
        <f>IF(A468="","",RANK(R468,$R$2:$R$500,0))</f>
        <v/>
      </c>
    </row>
    <row r="469" ht="22" customHeight="1">
      <c r="A469" s="48" t="n"/>
      <c r="B469" s="51" t="n"/>
      <c r="C469" s="51" t="n"/>
      <c r="D469" s="51" t="n"/>
      <c r="E469" s="51" t="n"/>
      <c r="F469" s="48" t="n"/>
      <c r="G469" s="48" t="n"/>
      <c r="H469" s="48" t="n"/>
      <c r="I469" s="51" t="n"/>
      <c r="J469" s="51" t="n"/>
      <c r="K469" s="51">
        <f>IF(A469="","",B469+C469)</f>
        <v/>
      </c>
      <c r="L469" s="51">
        <f>IF(A469="","",K469/12)</f>
        <v/>
      </c>
      <c r="M469" s="51">
        <f>IF(A469="","",K469/2080)</f>
        <v/>
      </c>
      <c r="N469" s="51">
        <f>IF(A469="","",B469+C469+D469+E469+I469+J469)</f>
        <v/>
      </c>
      <c r="O469" s="51">
        <f>IF(A469="","",N469*0.25)</f>
        <v/>
      </c>
      <c r="P469" s="51">
        <f>IF(A469="","",N469-O469)</f>
        <v/>
      </c>
      <c r="Q469" s="51">
        <f>IF(A469="","",ROUND(B469*0.4+C469*0.1+D469*0.1+E469*0.1+IF(G469="Yes",5000,0)*0.1+F469*500*0.1+IF(H469="Yes",5000,0)*0.1,0))</f>
        <v/>
      </c>
      <c r="R469" s="48">
        <f>IF(A469="","",ROUND(Q469/1000,1))</f>
        <v/>
      </c>
      <c r="S469" s="48">
        <f>IF(A469="","",RANK(R469,$R$2:$R$500,0))</f>
        <v/>
      </c>
    </row>
    <row r="470" ht="22" customHeight="1">
      <c r="A470" s="46" t="n"/>
      <c r="B470" s="50" t="n"/>
      <c r="C470" s="50" t="n"/>
      <c r="D470" s="50" t="n"/>
      <c r="E470" s="50" t="n"/>
      <c r="F470" s="46" t="n"/>
      <c r="G470" s="46" t="n"/>
      <c r="H470" s="46" t="n"/>
      <c r="I470" s="50" t="n"/>
      <c r="J470" s="50" t="n"/>
      <c r="K470" s="50">
        <f>IF(A470="","",B470+C470)</f>
        <v/>
      </c>
      <c r="L470" s="50">
        <f>IF(A470="","",K470/12)</f>
        <v/>
      </c>
      <c r="M470" s="50">
        <f>IF(A470="","",K470/2080)</f>
        <v/>
      </c>
      <c r="N470" s="50">
        <f>IF(A470="","",B470+C470+D470+E470+I470+J470)</f>
        <v/>
      </c>
      <c r="O470" s="50">
        <f>IF(A470="","",N470*0.25)</f>
        <v/>
      </c>
      <c r="P470" s="50">
        <f>IF(A470="","",N470-O470)</f>
        <v/>
      </c>
      <c r="Q470" s="50">
        <f>IF(A470="","",ROUND(B470*0.4+C470*0.1+D470*0.1+E470*0.1+IF(G470="Yes",5000,0)*0.1+F470*500*0.1+IF(H470="Yes",5000,0)*0.1,0))</f>
        <v/>
      </c>
      <c r="R470" s="46">
        <f>IF(A470="","",ROUND(Q470/1000,1))</f>
        <v/>
      </c>
      <c r="S470" s="46">
        <f>IF(A470="","",RANK(R470,$R$2:$R$500,0))</f>
        <v/>
      </c>
    </row>
    <row r="471" ht="22" customHeight="1">
      <c r="A471" s="48" t="n"/>
      <c r="B471" s="51" t="n"/>
      <c r="C471" s="51" t="n"/>
      <c r="D471" s="51" t="n"/>
      <c r="E471" s="51" t="n"/>
      <c r="F471" s="48" t="n"/>
      <c r="G471" s="48" t="n"/>
      <c r="H471" s="48" t="n"/>
      <c r="I471" s="51" t="n"/>
      <c r="J471" s="51" t="n"/>
      <c r="K471" s="51">
        <f>IF(A471="","",B471+C471)</f>
        <v/>
      </c>
      <c r="L471" s="51">
        <f>IF(A471="","",K471/12)</f>
        <v/>
      </c>
      <c r="M471" s="51">
        <f>IF(A471="","",K471/2080)</f>
        <v/>
      </c>
      <c r="N471" s="51">
        <f>IF(A471="","",B471+C471+D471+E471+I471+J471)</f>
        <v/>
      </c>
      <c r="O471" s="51">
        <f>IF(A471="","",N471*0.25)</f>
        <v/>
      </c>
      <c r="P471" s="51">
        <f>IF(A471="","",N471-O471)</f>
        <v/>
      </c>
      <c r="Q471" s="51">
        <f>IF(A471="","",ROUND(B471*0.4+C471*0.1+D471*0.1+E471*0.1+IF(G471="Yes",5000,0)*0.1+F471*500*0.1+IF(H471="Yes",5000,0)*0.1,0))</f>
        <v/>
      </c>
      <c r="R471" s="48">
        <f>IF(A471="","",ROUND(Q471/1000,1))</f>
        <v/>
      </c>
      <c r="S471" s="48">
        <f>IF(A471="","",RANK(R471,$R$2:$R$500,0))</f>
        <v/>
      </c>
    </row>
    <row r="472" ht="22" customHeight="1">
      <c r="A472" s="46" t="n"/>
      <c r="B472" s="50" t="n"/>
      <c r="C472" s="50" t="n"/>
      <c r="D472" s="50" t="n"/>
      <c r="E472" s="50" t="n"/>
      <c r="F472" s="46" t="n"/>
      <c r="G472" s="46" t="n"/>
      <c r="H472" s="46" t="n"/>
      <c r="I472" s="50" t="n"/>
      <c r="J472" s="50" t="n"/>
      <c r="K472" s="50">
        <f>IF(A472="","",B472+C472)</f>
        <v/>
      </c>
      <c r="L472" s="50">
        <f>IF(A472="","",K472/12)</f>
        <v/>
      </c>
      <c r="M472" s="50">
        <f>IF(A472="","",K472/2080)</f>
        <v/>
      </c>
      <c r="N472" s="50">
        <f>IF(A472="","",B472+C472+D472+E472+I472+J472)</f>
        <v/>
      </c>
      <c r="O472" s="50">
        <f>IF(A472="","",N472*0.25)</f>
        <v/>
      </c>
      <c r="P472" s="50">
        <f>IF(A472="","",N472-O472)</f>
        <v/>
      </c>
      <c r="Q472" s="50">
        <f>IF(A472="","",ROUND(B472*0.4+C472*0.1+D472*0.1+E472*0.1+IF(G472="Yes",5000,0)*0.1+F472*500*0.1+IF(H472="Yes",5000,0)*0.1,0))</f>
        <v/>
      </c>
      <c r="R472" s="46">
        <f>IF(A472="","",ROUND(Q472/1000,1))</f>
        <v/>
      </c>
      <c r="S472" s="46">
        <f>IF(A472="","",RANK(R472,$R$2:$R$500,0))</f>
        <v/>
      </c>
    </row>
    <row r="473" ht="22" customHeight="1">
      <c r="A473" s="48" t="n"/>
      <c r="B473" s="51" t="n"/>
      <c r="C473" s="51" t="n"/>
      <c r="D473" s="51" t="n"/>
      <c r="E473" s="51" t="n"/>
      <c r="F473" s="48" t="n"/>
      <c r="G473" s="48" t="n"/>
      <c r="H473" s="48" t="n"/>
      <c r="I473" s="51" t="n"/>
      <c r="J473" s="51" t="n"/>
      <c r="K473" s="51">
        <f>IF(A473="","",B473+C473)</f>
        <v/>
      </c>
      <c r="L473" s="51">
        <f>IF(A473="","",K473/12)</f>
        <v/>
      </c>
      <c r="M473" s="51">
        <f>IF(A473="","",K473/2080)</f>
        <v/>
      </c>
      <c r="N473" s="51">
        <f>IF(A473="","",B473+C473+D473+E473+I473+J473)</f>
        <v/>
      </c>
      <c r="O473" s="51">
        <f>IF(A473="","",N473*0.25)</f>
        <v/>
      </c>
      <c r="P473" s="51">
        <f>IF(A473="","",N473-O473)</f>
        <v/>
      </c>
      <c r="Q473" s="51">
        <f>IF(A473="","",ROUND(B473*0.4+C473*0.1+D473*0.1+E473*0.1+IF(G473="Yes",5000,0)*0.1+F473*500*0.1+IF(H473="Yes",5000,0)*0.1,0))</f>
        <v/>
      </c>
      <c r="R473" s="48">
        <f>IF(A473="","",ROUND(Q473/1000,1))</f>
        <v/>
      </c>
      <c r="S473" s="48">
        <f>IF(A473="","",RANK(R473,$R$2:$R$500,0))</f>
        <v/>
      </c>
    </row>
    <row r="474" ht="22" customHeight="1">
      <c r="A474" s="46" t="n"/>
      <c r="B474" s="50" t="n"/>
      <c r="C474" s="50" t="n"/>
      <c r="D474" s="50" t="n"/>
      <c r="E474" s="50" t="n"/>
      <c r="F474" s="46" t="n"/>
      <c r="G474" s="46" t="n"/>
      <c r="H474" s="46" t="n"/>
      <c r="I474" s="50" t="n"/>
      <c r="J474" s="50" t="n"/>
      <c r="K474" s="50">
        <f>IF(A474="","",B474+C474)</f>
        <v/>
      </c>
      <c r="L474" s="50">
        <f>IF(A474="","",K474/12)</f>
        <v/>
      </c>
      <c r="M474" s="50">
        <f>IF(A474="","",K474/2080)</f>
        <v/>
      </c>
      <c r="N474" s="50">
        <f>IF(A474="","",B474+C474+D474+E474+I474+J474)</f>
        <v/>
      </c>
      <c r="O474" s="50">
        <f>IF(A474="","",N474*0.25)</f>
        <v/>
      </c>
      <c r="P474" s="50">
        <f>IF(A474="","",N474-O474)</f>
        <v/>
      </c>
      <c r="Q474" s="50">
        <f>IF(A474="","",ROUND(B474*0.4+C474*0.1+D474*0.1+E474*0.1+IF(G474="Yes",5000,0)*0.1+F474*500*0.1+IF(H474="Yes",5000,0)*0.1,0))</f>
        <v/>
      </c>
      <c r="R474" s="46">
        <f>IF(A474="","",ROUND(Q474/1000,1))</f>
        <v/>
      </c>
      <c r="S474" s="46">
        <f>IF(A474="","",RANK(R474,$R$2:$R$500,0))</f>
        <v/>
      </c>
    </row>
    <row r="475" ht="22" customHeight="1">
      <c r="A475" s="48" t="n"/>
      <c r="B475" s="51" t="n"/>
      <c r="C475" s="51" t="n"/>
      <c r="D475" s="51" t="n"/>
      <c r="E475" s="51" t="n"/>
      <c r="F475" s="48" t="n"/>
      <c r="G475" s="48" t="n"/>
      <c r="H475" s="48" t="n"/>
      <c r="I475" s="51" t="n"/>
      <c r="J475" s="51" t="n"/>
      <c r="K475" s="51">
        <f>IF(A475="","",B475+C475)</f>
        <v/>
      </c>
      <c r="L475" s="51">
        <f>IF(A475="","",K475/12)</f>
        <v/>
      </c>
      <c r="M475" s="51">
        <f>IF(A475="","",K475/2080)</f>
        <v/>
      </c>
      <c r="N475" s="51">
        <f>IF(A475="","",B475+C475+D475+E475+I475+J475)</f>
        <v/>
      </c>
      <c r="O475" s="51">
        <f>IF(A475="","",N475*0.25)</f>
        <v/>
      </c>
      <c r="P475" s="51">
        <f>IF(A475="","",N475-O475)</f>
        <v/>
      </c>
      <c r="Q475" s="51">
        <f>IF(A475="","",ROUND(B475*0.4+C475*0.1+D475*0.1+E475*0.1+IF(G475="Yes",5000,0)*0.1+F475*500*0.1+IF(H475="Yes",5000,0)*0.1,0))</f>
        <v/>
      </c>
      <c r="R475" s="48">
        <f>IF(A475="","",ROUND(Q475/1000,1))</f>
        <v/>
      </c>
      <c r="S475" s="48">
        <f>IF(A475="","",RANK(R475,$R$2:$R$500,0))</f>
        <v/>
      </c>
    </row>
    <row r="476" ht="22" customHeight="1">
      <c r="A476" s="46" t="n"/>
      <c r="B476" s="50" t="n"/>
      <c r="C476" s="50" t="n"/>
      <c r="D476" s="50" t="n"/>
      <c r="E476" s="50" t="n"/>
      <c r="F476" s="46" t="n"/>
      <c r="G476" s="46" t="n"/>
      <c r="H476" s="46" t="n"/>
      <c r="I476" s="50" t="n"/>
      <c r="J476" s="50" t="n"/>
      <c r="K476" s="50">
        <f>IF(A476="","",B476+C476)</f>
        <v/>
      </c>
      <c r="L476" s="50">
        <f>IF(A476="","",K476/12)</f>
        <v/>
      </c>
      <c r="M476" s="50">
        <f>IF(A476="","",K476/2080)</f>
        <v/>
      </c>
      <c r="N476" s="50">
        <f>IF(A476="","",B476+C476+D476+E476+I476+J476)</f>
        <v/>
      </c>
      <c r="O476" s="50">
        <f>IF(A476="","",N476*0.25)</f>
        <v/>
      </c>
      <c r="P476" s="50">
        <f>IF(A476="","",N476-O476)</f>
        <v/>
      </c>
      <c r="Q476" s="50">
        <f>IF(A476="","",ROUND(B476*0.4+C476*0.1+D476*0.1+E476*0.1+IF(G476="Yes",5000,0)*0.1+F476*500*0.1+IF(H476="Yes",5000,0)*0.1,0))</f>
        <v/>
      </c>
      <c r="R476" s="46">
        <f>IF(A476="","",ROUND(Q476/1000,1))</f>
        <v/>
      </c>
      <c r="S476" s="46">
        <f>IF(A476="","",RANK(R476,$R$2:$R$500,0))</f>
        <v/>
      </c>
    </row>
    <row r="477" ht="22" customHeight="1">
      <c r="A477" s="48" t="n"/>
      <c r="B477" s="51" t="n"/>
      <c r="C477" s="51" t="n"/>
      <c r="D477" s="51" t="n"/>
      <c r="E477" s="51" t="n"/>
      <c r="F477" s="48" t="n"/>
      <c r="G477" s="48" t="n"/>
      <c r="H477" s="48" t="n"/>
      <c r="I477" s="51" t="n"/>
      <c r="J477" s="51" t="n"/>
      <c r="K477" s="51">
        <f>IF(A477="","",B477+C477)</f>
        <v/>
      </c>
      <c r="L477" s="51">
        <f>IF(A477="","",K477/12)</f>
        <v/>
      </c>
      <c r="M477" s="51">
        <f>IF(A477="","",K477/2080)</f>
        <v/>
      </c>
      <c r="N477" s="51">
        <f>IF(A477="","",B477+C477+D477+E477+I477+J477)</f>
        <v/>
      </c>
      <c r="O477" s="51">
        <f>IF(A477="","",N477*0.25)</f>
        <v/>
      </c>
      <c r="P477" s="51">
        <f>IF(A477="","",N477-O477)</f>
        <v/>
      </c>
      <c r="Q477" s="51">
        <f>IF(A477="","",ROUND(B477*0.4+C477*0.1+D477*0.1+E477*0.1+IF(G477="Yes",5000,0)*0.1+F477*500*0.1+IF(H477="Yes",5000,0)*0.1,0))</f>
        <v/>
      </c>
      <c r="R477" s="48">
        <f>IF(A477="","",ROUND(Q477/1000,1))</f>
        <v/>
      </c>
      <c r="S477" s="48">
        <f>IF(A477="","",RANK(R477,$R$2:$R$500,0))</f>
        <v/>
      </c>
    </row>
    <row r="478" ht="22" customHeight="1">
      <c r="A478" s="46" t="n"/>
      <c r="B478" s="50" t="n"/>
      <c r="C478" s="50" t="n"/>
      <c r="D478" s="50" t="n"/>
      <c r="E478" s="50" t="n"/>
      <c r="F478" s="46" t="n"/>
      <c r="G478" s="46" t="n"/>
      <c r="H478" s="46" t="n"/>
      <c r="I478" s="50" t="n"/>
      <c r="J478" s="50" t="n"/>
      <c r="K478" s="50">
        <f>IF(A478="","",B478+C478)</f>
        <v/>
      </c>
      <c r="L478" s="50">
        <f>IF(A478="","",K478/12)</f>
        <v/>
      </c>
      <c r="M478" s="50">
        <f>IF(A478="","",K478/2080)</f>
        <v/>
      </c>
      <c r="N478" s="50">
        <f>IF(A478="","",B478+C478+D478+E478+I478+J478)</f>
        <v/>
      </c>
      <c r="O478" s="50">
        <f>IF(A478="","",N478*0.25)</f>
        <v/>
      </c>
      <c r="P478" s="50">
        <f>IF(A478="","",N478-O478)</f>
        <v/>
      </c>
      <c r="Q478" s="50">
        <f>IF(A478="","",ROUND(B478*0.4+C478*0.1+D478*0.1+E478*0.1+IF(G478="Yes",5000,0)*0.1+F478*500*0.1+IF(H478="Yes",5000,0)*0.1,0))</f>
        <v/>
      </c>
      <c r="R478" s="46">
        <f>IF(A478="","",ROUND(Q478/1000,1))</f>
        <v/>
      </c>
      <c r="S478" s="46">
        <f>IF(A478="","",RANK(R478,$R$2:$R$500,0))</f>
        <v/>
      </c>
    </row>
    <row r="479" ht="22" customHeight="1">
      <c r="A479" s="48" t="n"/>
      <c r="B479" s="51" t="n"/>
      <c r="C479" s="51" t="n"/>
      <c r="D479" s="51" t="n"/>
      <c r="E479" s="51" t="n"/>
      <c r="F479" s="48" t="n"/>
      <c r="G479" s="48" t="n"/>
      <c r="H479" s="48" t="n"/>
      <c r="I479" s="51" t="n"/>
      <c r="J479" s="51" t="n"/>
      <c r="K479" s="51">
        <f>IF(A479="","",B479+C479)</f>
        <v/>
      </c>
      <c r="L479" s="51">
        <f>IF(A479="","",K479/12)</f>
        <v/>
      </c>
      <c r="M479" s="51">
        <f>IF(A479="","",K479/2080)</f>
        <v/>
      </c>
      <c r="N479" s="51">
        <f>IF(A479="","",B479+C479+D479+E479+I479+J479)</f>
        <v/>
      </c>
      <c r="O479" s="51">
        <f>IF(A479="","",N479*0.25)</f>
        <v/>
      </c>
      <c r="P479" s="51">
        <f>IF(A479="","",N479-O479)</f>
        <v/>
      </c>
      <c r="Q479" s="51">
        <f>IF(A479="","",ROUND(B479*0.4+C479*0.1+D479*0.1+E479*0.1+IF(G479="Yes",5000,0)*0.1+F479*500*0.1+IF(H479="Yes",5000,0)*0.1,0))</f>
        <v/>
      </c>
      <c r="R479" s="48">
        <f>IF(A479="","",ROUND(Q479/1000,1))</f>
        <v/>
      </c>
      <c r="S479" s="48">
        <f>IF(A479="","",RANK(R479,$R$2:$R$500,0))</f>
        <v/>
      </c>
    </row>
    <row r="480" ht="22" customHeight="1">
      <c r="A480" s="46" t="n"/>
      <c r="B480" s="50" t="n"/>
      <c r="C480" s="50" t="n"/>
      <c r="D480" s="50" t="n"/>
      <c r="E480" s="50" t="n"/>
      <c r="F480" s="46" t="n"/>
      <c r="G480" s="46" t="n"/>
      <c r="H480" s="46" t="n"/>
      <c r="I480" s="50" t="n"/>
      <c r="J480" s="50" t="n"/>
      <c r="K480" s="50">
        <f>IF(A480="","",B480+C480)</f>
        <v/>
      </c>
      <c r="L480" s="50">
        <f>IF(A480="","",K480/12)</f>
        <v/>
      </c>
      <c r="M480" s="50">
        <f>IF(A480="","",K480/2080)</f>
        <v/>
      </c>
      <c r="N480" s="50">
        <f>IF(A480="","",B480+C480+D480+E480+I480+J480)</f>
        <v/>
      </c>
      <c r="O480" s="50">
        <f>IF(A480="","",N480*0.25)</f>
        <v/>
      </c>
      <c r="P480" s="50">
        <f>IF(A480="","",N480-O480)</f>
        <v/>
      </c>
      <c r="Q480" s="50">
        <f>IF(A480="","",ROUND(B480*0.4+C480*0.1+D480*0.1+E480*0.1+IF(G480="Yes",5000,0)*0.1+F480*500*0.1+IF(H480="Yes",5000,0)*0.1,0))</f>
        <v/>
      </c>
      <c r="R480" s="46">
        <f>IF(A480="","",ROUND(Q480/1000,1))</f>
        <v/>
      </c>
      <c r="S480" s="46">
        <f>IF(A480="","",RANK(R480,$R$2:$R$500,0))</f>
        <v/>
      </c>
    </row>
    <row r="481" ht="22" customHeight="1">
      <c r="A481" s="48" t="n"/>
      <c r="B481" s="51" t="n"/>
      <c r="C481" s="51" t="n"/>
      <c r="D481" s="51" t="n"/>
      <c r="E481" s="51" t="n"/>
      <c r="F481" s="48" t="n"/>
      <c r="G481" s="48" t="n"/>
      <c r="H481" s="48" t="n"/>
      <c r="I481" s="51" t="n"/>
      <c r="J481" s="51" t="n"/>
      <c r="K481" s="51">
        <f>IF(A481="","",B481+C481)</f>
        <v/>
      </c>
      <c r="L481" s="51">
        <f>IF(A481="","",K481/12)</f>
        <v/>
      </c>
      <c r="M481" s="51">
        <f>IF(A481="","",K481/2080)</f>
        <v/>
      </c>
      <c r="N481" s="51">
        <f>IF(A481="","",B481+C481+D481+E481+I481+J481)</f>
        <v/>
      </c>
      <c r="O481" s="51">
        <f>IF(A481="","",N481*0.25)</f>
        <v/>
      </c>
      <c r="P481" s="51">
        <f>IF(A481="","",N481-O481)</f>
        <v/>
      </c>
      <c r="Q481" s="51">
        <f>IF(A481="","",ROUND(B481*0.4+C481*0.1+D481*0.1+E481*0.1+IF(G481="Yes",5000,0)*0.1+F481*500*0.1+IF(H481="Yes",5000,0)*0.1,0))</f>
        <v/>
      </c>
      <c r="R481" s="48">
        <f>IF(A481="","",ROUND(Q481/1000,1))</f>
        <v/>
      </c>
      <c r="S481" s="48">
        <f>IF(A481="","",RANK(R481,$R$2:$R$500,0))</f>
        <v/>
      </c>
    </row>
    <row r="482" ht="22" customHeight="1">
      <c r="A482" s="46" t="n"/>
      <c r="B482" s="50" t="n"/>
      <c r="C482" s="50" t="n"/>
      <c r="D482" s="50" t="n"/>
      <c r="E482" s="50" t="n"/>
      <c r="F482" s="46" t="n"/>
      <c r="G482" s="46" t="n"/>
      <c r="H482" s="46" t="n"/>
      <c r="I482" s="50" t="n"/>
      <c r="J482" s="50" t="n"/>
      <c r="K482" s="50">
        <f>IF(A482="","",B482+C482)</f>
        <v/>
      </c>
      <c r="L482" s="50">
        <f>IF(A482="","",K482/12)</f>
        <v/>
      </c>
      <c r="M482" s="50">
        <f>IF(A482="","",K482/2080)</f>
        <v/>
      </c>
      <c r="N482" s="50">
        <f>IF(A482="","",B482+C482+D482+E482+I482+J482)</f>
        <v/>
      </c>
      <c r="O482" s="50">
        <f>IF(A482="","",N482*0.25)</f>
        <v/>
      </c>
      <c r="P482" s="50">
        <f>IF(A482="","",N482-O482)</f>
        <v/>
      </c>
      <c r="Q482" s="50">
        <f>IF(A482="","",ROUND(B482*0.4+C482*0.1+D482*0.1+E482*0.1+IF(G482="Yes",5000,0)*0.1+F482*500*0.1+IF(H482="Yes",5000,0)*0.1,0))</f>
        <v/>
      </c>
      <c r="R482" s="46">
        <f>IF(A482="","",ROUND(Q482/1000,1))</f>
        <v/>
      </c>
      <c r="S482" s="46">
        <f>IF(A482="","",RANK(R482,$R$2:$R$500,0))</f>
        <v/>
      </c>
    </row>
    <row r="483" ht="22" customHeight="1">
      <c r="A483" s="48" t="n"/>
      <c r="B483" s="51" t="n"/>
      <c r="C483" s="51" t="n"/>
      <c r="D483" s="51" t="n"/>
      <c r="E483" s="51" t="n"/>
      <c r="F483" s="48" t="n"/>
      <c r="G483" s="48" t="n"/>
      <c r="H483" s="48" t="n"/>
      <c r="I483" s="51" t="n"/>
      <c r="J483" s="51" t="n"/>
      <c r="K483" s="51">
        <f>IF(A483="","",B483+C483)</f>
        <v/>
      </c>
      <c r="L483" s="51">
        <f>IF(A483="","",K483/12)</f>
        <v/>
      </c>
      <c r="M483" s="51">
        <f>IF(A483="","",K483/2080)</f>
        <v/>
      </c>
      <c r="N483" s="51">
        <f>IF(A483="","",B483+C483+D483+E483+I483+J483)</f>
        <v/>
      </c>
      <c r="O483" s="51">
        <f>IF(A483="","",N483*0.25)</f>
        <v/>
      </c>
      <c r="P483" s="51">
        <f>IF(A483="","",N483-O483)</f>
        <v/>
      </c>
      <c r="Q483" s="51">
        <f>IF(A483="","",ROUND(B483*0.4+C483*0.1+D483*0.1+E483*0.1+IF(G483="Yes",5000,0)*0.1+F483*500*0.1+IF(H483="Yes",5000,0)*0.1,0))</f>
        <v/>
      </c>
      <c r="R483" s="48">
        <f>IF(A483="","",ROUND(Q483/1000,1))</f>
        <v/>
      </c>
      <c r="S483" s="48">
        <f>IF(A483="","",RANK(R483,$R$2:$R$500,0))</f>
        <v/>
      </c>
    </row>
    <row r="484" ht="22" customHeight="1">
      <c r="A484" s="46" t="n"/>
      <c r="B484" s="50" t="n"/>
      <c r="C484" s="50" t="n"/>
      <c r="D484" s="50" t="n"/>
      <c r="E484" s="50" t="n"/>
      <c r="F484" s="46" t="n"/>
      <c r="G484" s="46" t="n"/>
      <c r="H484" s="46" t="n"/>
      <c r="I484" s="50" t="n"/>
      <c r="J484" s="50" t="n"/>
      <c r="K484" s="50">
        <f>IF(A484="","",B484+C484)</f>
        <v/>
      </c>
      <c r="L484" s="50">
        <f>IF(A484="","",K484/12)</f>
        <v/>
      </c>
      <c r="M484" s="50">
        <f>IF(A484="","",K484/2080)</f>
        <v/>
      </c>
      <c r="N484" s="50">
        <f>IF(A484="","",B484+C484+D484+E484+I484+J484)</f>
        <v/>
      </c>
      <c r="O484" s="50">
        <f>IF(A484="","",N484*0.25)</f>
        <v/>
      </c>
      <c r="P484" s="50">
        <f>IF(A484="","",N484-O484)</f>
        <v/>
      </c>
      <c r="Q484" s="50">
        <f>IF(A484="","",ROUND(B484*0.4+C484*0.1+D484*0.1+E484*0.1+IF(G484="Yes",5000,0)*0.1+F484*500*0.1+IF(H484="Yes",5000,0)*0.1,0))</f>
        <v/>
      </c>
      <c r="R484" s="46">
        <f>IF(A484="","",ROUND(Q484/1000,1))</f>
        <v/>
      </c>
      <c r="S484" s="46">
        <f>IF(A484="","",RANK(R484,$R$2:$R$500,0))</f>
        <v/>
      </c>
    </row>
    <row r="485" ht="22" customHeight="1">
      <c r="A485" s="48" t="n"/>
      <c r="B485" s="51" t="n"/>
      <c r="C485" s="51" t="n"/>
      <c r="D485" s="51" t="n"/>
      <c r="E485" s="51" t="n"/>
      <c r="F485" s="48" t="n"/>
      <c r="G485" s="48" t="n"/>
      <c r="H485" s="48" t="n"/>
      <c r="I485" s="51" t="n"/>
      <c r="J485" s="51" t="n"/>
      <c r="K485" s="51">
        <f>IF(A485="","",B485+C485)</f>
        <v/>
      </c>
      <c r="L485" s="51">
        <f>IF(A485="","",K485/12)</f>
        <v/>
      </c>
      <c r="M485" s="51">
        <f>IF(A485="","",K485/2080)</f>
        <v/>
      </c>
      <c r="N485" s="51">
        <f>IF(A485="","",B485+C485+D485+E485+I485+J485)</f>
        <v/>
      </c>
      <c r="O485" s="51">
        <f>IF(A485="","",N485*0.25)</f>
        <v/>
      </c>
      <c r="P485" s="51">
        <f>IF(A485="","",N485-O485)</f>
        <v/>
      </c>
      <c r="Q485" s="51">
        <f>IF(A485="","",ROUND(B485*0.4+C485*0.1+D485*0.1+E485*0.1+IF(G485="Yes",5000,0)*0.1+F485*500*0.1+IF(H485="Yes",5000,0)*0.1,0))</f>
        <v/>
      </c>
      <c r="R485" s="48">
        <f>IF(A485="","",ROUND(Q485/1000,1))</f>
        <v/>
      </c>
      <c r="S485" s="48">
        <f>IF(A485="","",RANK(R485,$R$2:$R$500,0))</f>
        <v/>
      </c>
    </row>
    <row r="486" ht="22" customHeight="1">
      <c r="A486" s="46" t="n"/>
      <c r="B486" s="50" t="n"/>
      <c r="C486" s="50" t="n"/>
      <c r="D486" s="50" t="n"/>
      <c r="E486" s="50" t="n"/>
      <c r="F486" s="46" t="n"/>
      <c r="G486" s="46" t="n"/>
      <c r="H486" s="46" t="n"/>
      <c r="I486" s="50" t="n"/>
      <c r="J486" s="50" t="n"/>
      <c r="K486" s="50">
        <f>IF(A486="","",B486+C486)</f>
        <v/>
      </c>
      <c r="L486" s="50">
        <f>IF(A486="","",K486/12)</f>
        <v/>
      </c>
      <c r="M486" s="50">
        <f>IF(A486="","",K486/2080)</f>
        <v/>
      </c>
      <c r="N486" s="50">
        <f>IF(A486="","",B486+C486+D486+E486+I486+J486)</f>
        <v/>
      </c>
      <c r="O486" s="50">
        <f>IF(A486="","",N486*0.25)</f>
        <v/>
      </c>
      <c r="P486" s="50">
        <f>IF(A486="","",N486-O486)</f>
        <v/>
      </c>
      <c r="Q486" s="50">
        <f>IF(A486="","",ROUND(B486*0.4+C486*0.1+D486*0.1+E486*0.1+IF(G486="Yes",5000,0)*0.1+F486*500*0.1+IF(H486="Yes",5000,0)*0.1,0))</f>
        <v/>
      </c>
      <c r="R486" s="46">
        <f>IF(A486="","",ROUND(Q486/1000,1))</f>
        <v/>
      </c>
      <c r="S486" s="46">
        <f>IF(A486="","",RANK(R486,$R$2:$R$500,0))</f>
        <v/>
      </c>
    </row>
    <row r="487" ht="22" customHeight="1">
      <c r="A487" s="48" t="n"/>
      <c r="B487" s="51" t="n"/>
      <c r="C487" s="51" t="n"/>
      <c r="D487" s="51" t="n"/>
      <c r="E487" s="51" t="n"/>
      <c r="F487" s="48" t="n"/>
      <c r="G487" s="48" t="n"/>
      <c r="H487" s="48" t="n"/>
      <c r="I487" s="51" t="n"/>
      <c r="J487" s="51" t="n"/>
      <c r="K487" s="51">
        <f>IF(A487="","",B487+C487)</f>
        <v/>
      </c>
      <c r="L487" s="51">
        <f>IF(A487="","",K487/12)</f>
        <v/>
      </c>
      <c r="M487" s="51">
        <f>IF(A487="","",K487/2080)</f>
        <v/>
      </c>
      <c r="N487" s="51">
        <f>IF(A487="","",B487+C487+D487+E487+I487+J487)</f>
        <v/>
      </c>
      <c r="O487" s="51">
        <f>IF(A487="","",N487*0.25)</f>
        <v/>
      </c>
      <c r="P487" s="51">
        <f>IF(A487="","",N487-O487)</f>
        <v/>
      </c>
      <c r="Q487" s="51">
        <f>IF(A487="","",ROUND(B487*0.4+C487*0.1+D487*0.1+E487*0.1+IF(G487="Yes",5000,0)*0.1+F487*500*0.1+IF(H487="Yes",5000,0)*0.1,0))</f>
        <v/>
      </c>
      <c r="R487" s="48">
        <f>IF(A487="","",ROUND(Q487/1000,1))</f>
        <v/>
      </c>
      <c r="S487" s="48">
        <f>IF(A487="","",RANK(R487,$R$2:$R$500,0))</f>
        <v/>
      </c>
    </row>
    <row r="488" ht="22" customHeight="1">
      <c r="A488" s="46" t="n"/>
      <c r="B488" s="50" t="n"/>
      <c r="C488" s="50" t="n"/>
      <c r="D488" s="50" t="n"/>
      <c r="E488" s="50" t="n"/>
      <c r="F488" s="46" t="n"/>
      <c r="G488" s="46" t="n"/>
      <c r="H488" s="46" t="n"/>
      <c r="I488" s="50" t="n"/>
      <c r="J488" s="50" t="n"/>
      <c r="K488" s="50">
        <f>IF(A488="","",B488+C488)</f>
        <v/>
      </c>
      <c r="L488" s="50">
        <f>IF(A488="","",K488/12)</f>
        <v/>
      </c>
      <c r="M488" s="50">
        <f>IF(A488="","",K488/2080)</f>
        <v/>
      </c>
      <c r="N488" s="50">
        <f>IF(A488="","",B488+C488+D488+E488+I488+J488)</f>
        <v/>
      </c>
      <c r="O488" s="50">
        <f>IF(A488="","",N488*0.25)</f>
        <v/>
      </c>
      <c r="P488" s="50">
        <f>IF(A488="","",N488-O488)</f>
        <v/>
      </c>
      <c r="Q488" s="50">
        <f>IF(A488="","",ROUND(B488*0.4+C488*0.1+D488*0.1+E488*0.1+IF(G488="Yes",5000,0)*0.1+F488*500*0.1+IF(H488="Yes",5000,0)*0.1,0))</f>
        <v/>
      </c>
      <c r="R488" s="46">
        <f>IF(A488="","",ROUND(Q488/1000,1))</f>
        <v/>
      </c>
      <c r="S488" s="46">
        <f>IF(A488="","",RANK(R488,$R$2:$R$500,0))</f>
        <v/>
      </c>
    </row>
    <row r="489" ht="22" customHeight="1">
      <c r="A489" s="48" t="n"/>
      <c r="B489" s="51" t="n"/>
      <c r="C489" s="51" t="n"/>
      <c r="D489" s="51" t="n"/>
      <c r="E489" s="51" t="n"/>
      <c r="F489" s="48" t="n"/>
      <c r="G489" s="48" t="n"/>
      <c r="H489" s="48" t="n"/>
      <c r="I489" s="51" t="n"/>
      <c r="J489" s="51" t="n"/>
      <c r="K489" s="51">
        <f>IF(A489="","",B489+C489)</f>
        <v/>
      </c>
      <c r="L489" s="51">
        <f>IF(A489="","",K489/12)</f>
        <v/>
      </c>
      <c r="M489" s="51">
        <f>IF(A489="","",K489/2080)</f>
        <v/>
      </c>
      <c r="N489" s="51">
        <f>IF(A489="","",B489+C489+D489+E489+I489+J489)</f>
        <v/>
      </c>
      <c r="O489" s="51">
        <f>IF(A489="","",N489*0.25)</f>
        <v/>
      </c>
      <c r="P489" s="51">
        <f>IF(A489="","",N489-O489)</f>
        <v/>
      </c>
      <c r="Q489" s="51">
        <f>IF(A489="","",ROUND(B489*0.4+C489*0.1+D489*0.1+E489*0.1+IF(G489="Yes",5000,0)*0.1+F489*500*0.1+IF(H489="Yes",5000,0)*0.1,0))</f>
        <v/>
      </c>
      <c r="R489" s="48">
        <f>IF(A489="","",ROUND(Q489/1000,1))</f>
        <v/>
      </c>
      <c r="S489" s="48">
        <f>IF(A489="","",RANK(R489,$R$2:$R$500,0))</f>
        <v/>
      </c>
    </row>
    <row r="490" ht="22" customHeight="1">
      <c r="A490" s="46" t="n"/>
      <c r="B490" s="50" t="n"/>
      <c r="C490" s="50" t="n"/>
      <c r="D490" s="50" t="n"/>
      <c r="E490" s="50" t="n"/>
      <c r="F490" s="46" t="n"/>
      <c r="G490" s="46" t="n"/>
      <c r="H490" s="46" t="n"/>
      <c r="I490" s="50" t="n"/>
      <c r="J490" s="50" t="n"/>
      <c r="K490" s="50">
        <f>IF(A490="","",B490+C490)</f>
        <v/>
      </c>
      <c r="L490" s="50">
        <f>IF(A490="","",K490/12)</f>
        <v/>
      </c>
      <c r="M490" s="50">
        <f>IF(A490="","",K490/2080)</f>
        <v/>
      </c>
      <c r="N490" s="50">
        <f>IF(A490="","",B490+C490+D490+E490+I490+J490)</f>
        <v/>
      </c>
      <c r="O490" s="50">
        <f>IF(A490="","",N490*0.25)</f>
        <v/>
      </c>
      <c r="P490" s="50">
        <f>IF(A490="","",N490-O490)</f>
        <v/>
      </c>
      <c r="Q490" s="50">
        <f>IF(A490="","",ROUND(B490*0.4+C490*0.1+D490*0.1+E490*0.1+IF(G490="Yes",5000,0)*0.1+F490*500*0.1+IF(H490="Yes",5000,0)*0.1,0))</f>
        <v/>
      </c>
      <c r="R490" s="46">
        <f>IF(A490="","",ROUND(Q490/1000,1))</f>
        <v/>
      </c>
      <c r="S490" s="46">
        <f>IF(A490="","",RANK(R490,$R$2:$R$500,0))</f>
        <v/>
      </c>
    </row>
    <row r="491" ht="22" customHeight="1">
      <c r="A491" s="48" t="n"/>
      <c r="B491" s="51" t="n"/>
      <c r="C491" s="51" t="n"/>
      <c r="D491" s="51" t="n"/>
      <c r="E491" s="51" t="n"/>
      <c r="F491" s="48" t="n"/>
      <c r="G491" s="48" t="n"/>
      <c r="H491" s="48" t="n"/>
      <c r="I491" s="51" t="n"/>
      <c r="J491" s="51" t="n"/>
      <c r="K491" s="51">
        <f>IF(A491="","",B491+C491)</f>
        <v/>
      </c>
      <c r="L491" s="51">
        <f>IF(A491="","",K491/12)</f>
        <v/>
      </c>
      <c r="M491" s="51">
        <f>IF(A491="","",K491/2080)</f>
        <v/>
      </c>
      <c r="N491" s="51">
        <f>IF(A491="","",B491+C491+D491+E491+I491+J491)</f>
        <v/>
      </c>
      <c r="O491" s="51">
        <f>IF(A491="","",N491*0.25)</f>
        <v/>
      </c>
      <c r="P491" s="51">
        <f>IF(A491="","",N491-O491)</f>
        <v/>
      </c>
      <c r="Q491" s="51">
        <f>IF(A491="","",ROUND(B491*0.4+C491*0.1+D491*0.1+E491*0.1+IF(G491="Yes",5000,0)*0.1+F491*500*0.1+IF(H491="Yes",5000,0)*0.1,0))</f>
        <v/>
      </c>
      <c r="R491" s="48">
        <f>IF(A491="","",ROUND(Q491/1000,1))</f>
        <v/>
      </c>
      <c r="S491" s="48">
        <f>IF(A491="","",RANK(R491,$R$2:$R$500,0))</f>
        <v/>
      </c>
    </row>
    <row r="492" ht="22" customHeight="1">
      <c r="A492" s="46" t="n"/>
      <c r="B492" s="50" t="n"/>
      <c r="C492" s="50" t="n"/>
      <c r="D492" s="50" t="n"/>
      <c r="E492" s="50" t="n"/>
      <c r="F492" s="46" t="n"/>
      <c r="G492" s="46" t="n"/>
      <c r="H492" s="46" t="n"/>
      <c r="I492" s="50" t="n"/>
      <c r="J492" s="50" t="n"/>
      <c r="K492" s="50">
        <f>IF(A492="","",B492+C492)</f>
        <v/>
      </c>
      <c r="L492" s="50">
        <f>IF(A492="","",K492/12)</f>
        <v/>
      </c>
      <c r="M492" s="50">
        <f>IF(A492="","",K492/2080)</f>
        <v/>
      </c>
      <c r="N492" s="50">
        <f>IF(A492="","",B492+C492+D492+E492+I492+J492)</f>
        <v/>
      </c>
      <c r="O492" s="50">
        <f>IF(A492="","",N492*0.25)</f>
        <v/>
      </c>
      <c r="P492" s="50">
        <f>IF(A492="","",N492-O492)</f>
        <v/>
      </c>
      <c r="Q492" s="50">
        <f>IF(A492="","",ROUND(B492*0.4+C492*0.1+D492*0.1+E492*0.1+IF(G492="Yes",5000,0)*0.1+F492*500*0.1+IF(H492="Yes",5000,0)*0.1,0))</f>
        <v/>
      </c>
      <c r="R492" s="46">
        <f>IF(A492="","",ROUND(Q492/1000,1))</f>
        <v/>
      </c>
      <c r="S492" s="46">
        <f>IF(A492="","",RANK(R492,$R$2:$R$500,0))</f>
        <v/>
      </c>
    </row>
    <row r="493" ht="22" customHeight="1">
      <c r="A493" s="48" t="n"/>
      <c r="B493" s="51" t="n"/>
      <c r="C493" s="51" t="n"/>
      <c r="D493" s="51" t="n"/>
      <c r="E493" s="51" t="n"/>
      <c r="F493" s="48" t="n"/>
      <c r="G493" s="48" t="n"/>
      <c r="H493" s="48" t="n"/>
      <c r="I493" s="51" t="n"/>
      <c r="J493" s="51" t="n"/>
      <c r="K493" s="51">
        <f>IF(A493="","",B493+C493)</f>
        <v/>
      </c>
      <c r="L493" s="51">
        <f>IF(A493="","",K493/12)</f>
        <v/>
      </c>
      <c r="M493" s="51">
        <f>IF(A493="","",K493/2080)</f>
        <v/>
      </c>
      <c r="N493" s="51">
        <f>IF(A493="","",B493+C493+D493+E493+I493+J493)</f>
        <v/>
      </c>
      <c r="O493" s="51">
        <f>IF(A493="","",N493*0.25)</f>
        <v/>
      </c>
      <c r="P493" s="51">
        <f>IF(A493="","",N493-O493)</f>
        <v/>
      </c>
      <c r="Q493" s="51">
        <f>IF(A493="","",ROUND(B493*0.4+C493*0.1+D493*0.1+E493*0.1+IF(G493="Yes",5000,0)*0.1+F493*500*0.1+IF(H493="Yes",5000,0)*0.1,0))</f>
        <v/>
      </c>
      <c r="R493" s="48">
        <f>IF(A493="","",ROUND(Q493/1000,1))</f>
        <v/>
      </c>
      <c r="S493" s="48">
        <f>IF(A493="","",RANK(R493,$R$2:$R$500,0))</f>
        <v/>
      </c>
    </row>
    <row r="494" ht="22" customHeight="1">
      <c r="A494" s="46" t="n"/>
      <c r="B494" s="50" t="n"/>
      <c r="C494" s="50" t="n"/>
      <c r="D494" s="50" t="n"/>
      <c r="E494" s="50" t="n"/>
      <c r="F494" s="46" t="n"/>
      <c r="G494" s="46" t="n"/>
      <c r="H494" s="46" t="n"/>
      <c r="I494" s="50" t="n"/>
      <c r="J494" s="50" t="n"/>
      <c r="K494" s="50">
        <f>IF(A494="","",B494+C494)</f>
        <v/>
      </c>
      <c r="L494" s="50">
        <f>IF(A494="","",K494/12)</f>
        <v/>
      </c>
      <c r="M494" s="50">
        <f>IF(A494="","",K494/2080)</f>
        <v/>
      </c>
      <c r="N494" s="50">
        <f>IF(A494="","",B494+C494+D494+E494+I494+J494)</f>
        <v/>
      </c>
      <c r="O494" s="50">
        <f>IF(A494="","",N494*0.25)</f>
        <v/>
      </c>
      <c r="P494" s="50">
        <f>IF(A494="","",N494-O494)</f>
        <v/>
      </c>
      <c r="Q494" s="50">
        <f>IF(A494="","",ROUND(B494*0.4+C494*0.1+D494*0.1+E494*0.1+IF(G494="Yes",5000,0)*0.1+F494*500*0.1+IF(H494="Yes",5000,0)*0.1,0))</f>
        <v/>
      </c>
      <c r="R494" s="46">
        <f>IF(A494="","",ROUND(Q494/1000,1))</f>
        <v/>
      </c>
      <c r="S494" s="46">
        <f>IF(A494="","",RANK(R494,$R$2:$R$500,0))</f>
        <v/>
      </c>
    </row>
    <row r="495" ht="22" customHeight="1">
      <c r="A495" s="48" t="n"/>
      <c r="B495" s="51" t="n"/>
      <c r="C495" s="51" t="n"/>
      <c r="D495" s="51" t="n"/>
      <c r="E495" s="51" t="n"/>
      <c r="F495" s="48" t="n"/>
      <c r="G495" s="48" t="n"/>
      <c r="H495" s="48" t="n"/>
      <c r="I495" s="51" t="n"/>
      <c r="J495" s="51" t="n"/>
      <c r="K495" s="51">
        <f>IF(A495="","",B495+C495)</f>
        <v/>
      </c>
      <c r="L495" s="51">
        <f>IF(A495="","",K495/12)</f>
        <v/>
      </c>
      <c r="M495" s="51">
        <f>IF(A495="","",K495/2080)</f>
        <v/>
      </c>
      <c r="N495" s="51">
        <f>IF(A495="","",B495+C495+D495+E495+I495+J495)</f>
        <v/>
      </c>
      <c r="O495" s="51">
        <f>IF(A495="","",N495*0.25)</f>
        <v/>
      </c>
      <c r="P495" s="51">
        <f>IF(A495="","",N495-O495)</f>
        <v/>
      </c>
      <c r="Q495" s="51">
        <f>IF(A495="","",ROUND(B495*0.4+C495*0.1+D495*0.1+E495*0.1+IF(G495="Yes",5000,0)*0.1+F495*500*0.1+IF(H495="Yes",5000,0)*0.1,0))</f>
        <v/>
      </c>
      <c r="R495" s="48">
        <f>IF(A495="","",ROUND(Q495/1000,1))</f>
        <v/>
      </c>
      <c r="S495" s="48">
        <f>IF(A495="","",RANK(R495,$R$2:$R$500,0))</f>
        <v/>
      </c>
    </row>
    <row r="496" ht="22" customHeight="1">
      <c r="A496" s="46" t="n"/>
      <c r="B496" s="50" t="n"/>
      <c r="C496" s="50" t="n"/>
      <c r="D496" s="50" t="n"/>
      <c r="E496" s="50" t="n"/>
      <c r="F496" s="46" t="n"/>
      <c r="G496" s="46" t="n"/>
      <c r="H496" s="46" t="n"/>
      <c r="I496" s="50" t="n"/>
      <c r="J496" s="50" t="n"/>
      <c r="K496" s="50">
        <f>IF(A496="","",B496+C496)</f>
        <v/>
      </c>
      <c r="L496" s="50">
        <f>IF(A496="","",K496/12)</f>
        <v/>
      </c>
      <c r="M496" s="50">
        <f>IF(A496="","",K496/2080)</f>
        <v/>
      </c>
      <c r="N496" s="50">
        <f>IF(A496="","",B496+C496+D496+E496+I496+J496)</f>
        <v/>
      </c>
      <c r="O496" s="50">
        <f>IF(A496="","",N496*0.25)</f>
        <v/>
      </c>
      <c r="P496" s="50">
        <f>IF(A496="","",N496-O496)</f>
        <v/>
      </c>
      <c r="Q496" s="50">
        <f>IF(A496="","",ROUND(B496*0.4+C496*0.1+D496*0.1+E496*0.1+IF(G496="Yes",5000,0)*0.1+F496*500*0.1+IF(H496="Yes",5000,0)*0.1,0))</f>
        <v/>
      </c>
      <c r="R496" s="46">
        <f>IF(A496="","",ROUND(Q496/1000,1))</f>
        <v/>
      </c>
      <c r="S496" s="46">
        <f>IF(A496="","",RANK(R496,$R$2:$R$500,0))</f>
        <v/>
      </c>
    </row>
    <row r="497" ht="22" customHeight="1">
      <c r="A497" s="48" t="n"/>
      <c r="B497" s="51" t="n"/>
      <c r="C497" s="51" t="n"/>
      <c r="D497" s="51" t="n"/>
      <c r="E497" s="51" t="n"/>
      <c r="F497" s="48" t="n"/>
      <c r="G497" s="48" t="n"/>
      <c r="H497" s="48" t="n"/>
      <c r="I497" s="51" t="n"/>
      <c r="J497" s="51" t="n"/>
      <c r="K497" s="51">
        <f>IF(A497="","",B497+C497)</f>
        <v/>
      </c>
      <c r="L497" s="51">
        <f>IF(A497="","",K497/12)</f>
        <v/>
      </c>
      <c r="M497" s="51">
        <f>IF(A497="","",K497/2080)</f>
        <v/>
      </c>
      <c r="N497" s="51">
        <f>IF(A497="","",B497+C497+D497+E497+I497+J497)</f>
        <v/>
      </c>
      <c r="O497" s="51">
        <f>IF(A497="","",N497*0.25)</f>
        <v/>
      </c>
      <c r="P497" s="51">
        <f>IF(A497="","",N497-O497)</f>
        <v/>
      </c>
      <c r="Q497" s="51">
        <f>IF(A497="","",ROUND(B497*0.4+C497*0.1+D497*0.1+E497*0.1+IF(G497="Yes",5000,0)*0.1+F497*500*0.1+IF(H497="Yes",5000,0)*0.1,0))</f>
        <v/>
      </c>
      <c r="R497" s="48">
        <f>IF(A497="","",ROUND(Q497/1000,1))</f>
        <v/>
      </c>
      <c r="S497" s="48">
        <f>IF(A497="","",RANK(R497,$R$2:$R$500,0))</f>
        <v/>
      </c>
    </row>
    <row r="498" ht="22" customHeight="1">
      <c r="A498" s="46" t="n"/>
      <c r="B498" s="50" t="n"/>
      <c r="C498" s="50" t="n"/>
      <c r="D498" s="50" t="n"/>
      <c r="E498" s="50" t="n"/>
      <c r="F498" s="46" t="n"/>
      <c r="G498" s="46" t="n"/>
      <c r="H498" s="46" t="n"/>
      <c r="I498" s="50" t="n"/>
      <c r="J498" s="50" t="n"/>
      <c r="K498" s="50">
        <f>IF(A498="","",B498+C498)</f>
        <v/>
      </c>
      <c r="L498" s="50">
        <f>IF(A498="","",K498/12)</f>
        <v/>
      </c>
      <c r="M498" s="50">
        <f>IF(A498="","",K498/2080)</f>
        <v/>
      </c>
      <c r="N498" s="50">
        <f>IF(A498="","",B498+C498+D498+E498+I498+J498)</f>
        <v/>
      </c>
      <c r="O498" s="50">
        <f>IF(A498="","",N498*0.25)</f>
        <v/>
      </c>
      <c r="P498" s="50">
        <f>IF(A498="","",N498-O498)</f>
        <v/>
      </c>
      <c r="Q498" s="50">
        <f>IF(A498="","",ROUND(B498*0.4+C498*0.1+D498*0.1+E498*0.1+IF(G498="Yes",5000,0)*0.1+F498*500*0.1+IF(H498="Yes",5000,0)*0.1,0))</f>
        <v/>
      </c>
      <c r="R498" s="46">
        <f>IF(A498="","",ROUND(Q498/1000,1))</f>
        <v/>
      </c>
      <c r="S498" s="46">
        <f>IF(A498="","",RANK(R498,$R$2:$R$500,0))</f>
        <v/>
      </c>
    </row>
    <row r="499" ht="22" customHeight="1">
      <c r="A499" s="48" t="n"/>
      <c r="B499" s="51" t="n"/>
      <c r="C499" s="51" t="n"/>
      <c r="D499" s="51" t="n"/>
      <c r="E499" s="51" t="n"/>
      <c r="F499" s="48" t="n"/>
      <c r="G499" s="48" t="n"/>
      <c r="H499" s="48" t="n"/>
      <c r="I499" s="51" t="n"/>
      <c r="J499" s="51" t="n"/>
      <c r="K499" s="51">
        <f>IF(A499="","",B499+C499)</f>
        <v/>
      </c>
      <c r="L499" s="51">
        <f>IF(A499="","",K499/12)</f>
        <v/>
      </c>
      <c r="M499" s="51">
        <f>IF(A499="","",K499/2080)</f>
        <v/>
      </c>
      <c r="N499" s="51">
        <f>IF(A499="","",B499+C499+D499+E499+I499+J499)</f>
        <v/>
      </c>
      <c r="O499" s="51">
        <f>IF(A499="","",N499*0.25)</f>
        <v/>
      </c>
      <c r="P499" s="51">
        <f>IF(A499="","",N499-O499)</f>
        <v/>
      </c>
      <c r="Q499" s="51">
        <f>IF(A499="","",ROUND(B499*0.4+C499*0.1+D499*0.1+E499*0.1+IF(G499="Yes",5000,0)*0.1+F499*500*0.1+IF(H499="Yes",5000,0)*0.1,0))</f>
        <v/>
      </c>
      <c r="R499" s="48">
        <f>IF(A499="","",ROUND(Q499/1000,1))</f>
        <v/>
      </c>
      <c r="S499" s="48">
        <f>IF(A499="","",RANK(R499,$R$2:$R$500,0))</f>
        <v/>
      </c>
    </row>
    <row r="500" ht="22" customHeight="1">
      <c r="A500" s="46" t="n"/>
      <c r="B500" s="50" t="n"/>
      <c r="C500" s="50" t="n"/>
      <c r="D500" s="50" t="n"/>
      <c r="E500" s="50" t="n"/>
      <c r="F500" s="46" t="n"/>
      <c r="G500" s="46" t="n"/>
      <c r="H500" s="46" t="n"/>
      <c r="I500" s="50" t="n"/>
      <c r="J500" s="50" t="n"/>
      <c r="K500" s="50">
        <f>IF(A500="","",B500+C500)</f>
        <v/>
      </c>
      <c r="L500" s="50">
        <f>IF(A500="","",K500/12)</f>
        <v/>
      </c>
      <c r="M500" s="50">
        <f>IF(A500="","",K500/2080)</f>
        <v/>
      </c>
      <c r="N500" s="50">
        <f>IF(A500="","",B500+C500+D500+E500+I500+J500)</f>
        <v/>
      </c>
      <c r="O500" s="50">
        <f>IF(A500="","",N500*0.25)</f>
        <v/>
      </c>
      <c r="P500" s="50">
        <f>IF(A500="","",N500-O500)</f>
        <v/>
      </c>
      <c r="Q500" s="50">
        <f>IF(A500="","",ROUND(B500*0.4+C500*0.1+D500*0.1+E500*0.1+IF(G500="Yes",5000,0)*0.1+F500*500*0.1+IF(H500="Yes",5000,0)*0.1,0))</f>
        <v/>
      </c>
      <c r="R500" s="46">
        <f>IF(A500="","",ROUND(Q500/1000,1))</f>
        <v/>
      </c>
      <c r="S500" s="46">
        <f>IF(A500="","",RANK(R500,$R$2:$R$500,0))</f>
        <v/>
      </c>
    </row>
  </sheetData>
  <autoFilter ref="A1:S500"/>
  <conditionalFormatting sqref="S2:S500">
    <cfRule type="cellIs" priority="1" operator="equal" dxfId="3">
      <formula>1</formula>
    </cfRule>
  </conditionalFormatting>
  <dataValidations count="2">
    <dataValidation sqref="G2:G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7B8D"/>
    <outlinePr summaryBelow="1" summaryRight="1"/>
    <pageSetUpPr/>
  </sheetPr>
  <dimension ref="A1:H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45" t="inlineStr">
        <is>
          <t>Week Of</t>
        </is>
      </c>
      <c r="B1" s="45" t="inlineStr">
        <is>
          <t>Applications Goal</t>
        </is>
      </c>
      <c r="C1" s="45" t="inlineStr">
        <is>
          <t>Completed</t>
        </is>
      </c>
      <c r="D1" s="45" t="inlineStr">
        <is>
          <t>Networking</t>
        </is>
      </c>
      <c r="E1" s="45" t="inlineStr">
        <is>
          <t>Interview Prep</t>
        </is>
      </c>
      <c r="F1" s="45" t="inlineStr">
        <is>
          <t>Learning</t>
        </is>
      </c>
      <c r="G1" s="45" t="inlineStr">
        <is>
          <t>Follow-ups</t>
        </is>
      </c>
      <c r="H1" s="45" t="inlineStr">
        <is>
          <t>Reflection</t>
        </is>
      </c>
    </row>
    <row r="2" ht="22" customHeight="1">
      <c r="A2" s="46" t="inlineStr">
        <is>
          <t>2026-06-29</t>
        </is>
      </c>
      <c r="B2" s="46" t="n">
        <v>20</v>
      </c>
      <c r="C2" s="46" t="n">
        <v>0</v>
      </c>
      <c r="D2" s="46" t="inlineStr">
        <is>
          <t>3 coffee chats</t>
        </is>
      </c>
      <c r="E2" s="46" t="inlineStr">
        <is>
          <t>2 companies</t>
        </is>
      </c>
      <c r="F2" s="46" t="inlineStr">
        <is>
          <t>React patterns</t>
        </is>
      </c>
      <c r="G2" s="46" t="inlineStr">
        <is>
          <t>5 follow-ups</t>
        </is>
      </c>
      <c r="H2" s="46" t="inlineStr"/>
    </row>
  </sheetData>
  <autoFilter ref="A1:H50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BBA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4" customWidth="1" min="4" max="4"/>
    <col width="28" customWidth="1" min="5" max="5"/>
    <col width="16" customWidth="1" min="6" max="6"/>
    <col width="2" customWidth="1" min="7" max="7"/>
  </cols>
  <sheetData>
    <row r="1">
      <c r="A1" s="18" t="n"/>
      <c r="B1" s="18" t="n"/>
      <c r="C1" s="18" t="n"/>
      <c r="D1" s="18" t="n"/>
      <c r="E1" s="18" t="n"/>
      <c r="F1" s="18" t="n"/>
      <c r="G1" s="18" t="n"/>
    </row>
    <row r="2" ht="32" customHeight="1">
      <c r="A2" s="18" t="n"/>
      <c r="B2" s="52" t="inlineStr">
        <is>
          <t>Job Search Statistics &amp; Analytics</t>
        </is>
      </c>
      <c r="C2" s="18" t="n"/>
      <c r="D2" s="18" t="n"/>
      <c r="E2" s="18" t="n"/>
      <c r="F2" s="18" t="n"/>
      <c r="G2" s="18" t="n"/>
    </row>
    <row r="3">
      <c r="A3" s="18" t="n"/>
      <c r="B3" s="53" t="inlineStr">
        <is>
          <t>Automatically calculated from your Applications data</t>
        </is>
      </c>
      <c r="C3" s="18" t="n"/>
      <c r="D3" s="18" t="n"/>
      <c r="E3" s="18" t="n"/>
      <c r="F3" s="18" t="n"/>
      <c r="G3" s="18" t="n"/>
    </row>
    <row r="4" ht="4" customHeight="1">
      <c r="A4" s="18" t="n"/>
      <c r="B4" s="21" t="n"/>
      <c r="C4" s="22" t="n"/>
      <c r="D4" s="22" t="n"/>
      <c r="E4" s="22" t="n"/>
      <c r="F4" s="22" t="n"/>
      <c r="G4" s="18" t="n"/>
    </row>
    <row r="5">
      <c r="A5" s="18" t="n"/>
      <c r="B5" s="18" t="n"/>
      <c r="C5" s="18" t="n"/>
      <c r="D5" s="18" t="n"/>
      <c r="E5" s="18" t="n"/>
      <c r="F5" s="18" t="n"/>
      <c r="G5" s="18" t="n"/>
    </row>
    <row r="6">
      <c r="A6" s="18" t="n"/>
      <c r="B6" s="54" t="inlineStr">
        <is>
          <t>Application Metrics</t>
        </is>
      </c>
      <c r="C6" s="18" t="n"/>
      <c r="D6" s="18" t="n"/>
      <c r="E6" s="54" t="inlineStr">
        <is>
          <t>Conversion Rates</t>
        </is>
      </c>
      <c r="F6" s="18" t="n"/>
      <c r="G6" s="18" t="n"/>
    </row>
    <row r="7" ht="24" customHeight="1">
      <c r="A7" s="18" t="n"/>
      <c r="B7" s="55" t="inlineStr">
        <is>
          <t>Applications Submitted</t>
        </is>
      </c>
      <c r="C7" s="56">
        <f>COUNTA(Applications!B2:B500)</f>
        <v/>
      </c>
      <c r="D7" s="18" t="n"/>
      <c r="E7" s="55" t="inlineStr">
        <is>
          <t>Response Rate</t>
        </is>
      </c>
      <c r="F7" s="57">
        <f>IFERROR(ROUND((COUNTA(Applications!B2:B500)-COUNTIFS(Applications!J2:J500,"Applied",Applications!B2:B500,"&lt;&gt;")-COUNTIFS(Applications!J2:J500,"Ghosted",Applications!B2:B500,"&lt;&gt;"))/COUNTA(Applications!B2:B500),2),0)</f>
        <v/>
      </c>
      <c r="G7" s="18" t="n"/>
    </row>
    <row r="8" ht="24" customHeight="1">
      <c r="A8" s="18" t="n"/>
      <c r="B8" s="46" t="inlineStr">
        <is>
          <t>Applications per Week</t>
        </is>
      </c>
      <c r="C8" s="58">
        <f>IFERROR(ROUND(COUNTA(Applications!B2:B500)/MAX(1,ROUND((TODAY()-MIN(Applications!I2:I500))/7,0)),1),0)</f>
        <v/>
      </c>
      <c r="D8" s="18" t="n"/>
      <c r="E8" s="46" t="inlineStr">
        <is>
          <t>Interview Rate</t>
        </is>
      </c>
      <c r="F8" s="59">
        <f>IFERROR(ROUND(COUNTIFS(Applications!J2:J500,"*Interview*",Applications!B2:B500,"&lt;&gt;")/COUNTA(Applications!B2:B500),2),0)</f>
        <v/>
      </c>
      <c r="G8" s="18" t="n"/>
    </row>
    <row r="9" ht="24" customHeight="1">
      <c r="A9" s="18" t="n"/>
      <c r="B9" s="55" t="inlineStr">
        <is>
          <t>Applications per Month</t>
        </is>
      </c>
      <c r="C9" s="60">
        <f>IFERROR(ROUND(COUNTA(Applications!B2:B500)/MAX(1,ROUND((TODAY()-MIN(Applications!I2:I500))/30,0)),1),0)</f>
        <v/>
      </c>
      <c r="D9" s="18" t="n"/>
      <c r="E9" s="55" t="inlineStr">
        <is>
          <t>Offer Rate</t>
        </is>
      </c>
      <c r="F9" s="57">
        <f>IFERROR(ROUND((COUNTIFS(Applications!J2:J500,"Offer",Applications!B2:B500,"&lt;&gt;")+COUNTIFS(Applications!J2:J500,"Accepted",Applications!B2:B500,"&lt;&gt;"))/COUNTA(Applications!B2:B500),2),0)</f>
        <v/>
      </c>
      <c r="G9" s="18" t="n"/>
    </row>
    <row r="10" ht="24" customHeight="1">
      <c r="A10" s="18" t="n"/>
      <c r="B10" s="46" t="inlineStr">
        <is>
          <t>Avg Time Until Response (days)</t>
        </is>
      </c>
      <c r="C10" s="61">
        <f>IFERROR(ROUND(AVERAGEIFS(Applications!I2:I500,Applications!J2:J500,"&lt;&gt;Applied",Applications!J2:J500,"&lt;&gt;")-MIN(Applications!I2:I500),0),0)</f>
        <v/>
      </c>
      <c r="D10" s="18" t="n"/>
      <c r="E10" s="46" t="inlineStr">
        <is>
          <t>Acceptance Rate</t>
        </is>
      </c>
      <c r="F10" s="59">
        <f>IFERROR(ROUND(COUNTIFS(Applications!J2:J500,"Accepted",Applications!B2:B500,"&lt;&gt;")/(COUNTIFS(Applications!J2:J500,"Offer",Applications!B2:B500,"&lt;&gt;")+COUNTIFS(Applications!J2:J500,"Accepted",Applications!B2:B500,"&lt;&gt;")),2),0)</f>
        <v/>
      </c>
      <c r="G10" s="18" t="n"/>
    </row>
    <row r="11" ht="24" customHeight="1">
      <c r="A11" s="18" t="n"/>
      <c r="B11" s="55" t="inlineStr">
        <is>
          <t>Avg Time Until Interview (days)</t>
        </is>
      </c>
      <c r="C11" s="56">
        <f>IFERROR(ROUND(AVERAGEIFS(Applications!I2:I500,Applications!J2:J500,"*Interview*")-AVERAGEIFS(Applications!I2:I500,Applications!J2:J500,"*Interview*"),0),0)</f>
        <v/>
      </c>
      <c r="D11" s="18" t="n"/>
      <c r="E11" s="55" t="inlineStr">
        <is>
          <t>Ghost Rate</t>
        </is>
      </c>
      <c r="F11" s="57">
        <f>IFERROR(ROUND(COUNTIFS(Applications!J2:J500,"Ghosted",Applications!B2:B500,"&lt;&gt;")/COUNTA(Applications!B2:B500),2),0)</f>
        <v/>
      </c>
      <c r="G11" s="18" t="n"/>
    </row>
    <row r="12" ht="24" customHeight="1">
      <c r="A12" s="18" t="n"/>
      <c r="B12" s="46" t="inlineStr">
        <is>
          <t>Avg Time Until Offer (days)</t>
        </is>
      </c>
      <c r="C12" s="61">
        <f>IFERROR(ROUND(AVERAGEIFS(Applications!I2:I500,Applications!J2:J500,"Offer")-AVERAGEIFS(Applications!I2:I500,Applications!J2:J500,"Offer"),0),0)</f>
        <v/>
      </c>
      <c r="D12" s="18" t="n"/>
      <c r="E12" s="46" t="inlineStr">
        <is>
          <t>Rejection Rate</t>
        </is>
      </c>
      <c r="F12" s="59">
        <f>IFERROR(ROUND(COUNTIFS(Applications!J2:J500,"Rejected",Applications!B2:B500,"&lt;&gt;")/COUNTA(Applications!B2:B500),2),0)</f>
        <v/>
      </c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54" t="inlineStr">
        <is>
          <t>Salary Analytics</t>
        </is>
      </c>
      <c r="C14" s="18" t="n"/>
      <c r="D14" s="18" t="n"/>
      <c r="E14" s="54" t="inlineStr">
        <is>
          <t>Top Insights</t>
        </is>
      </c>
      <c r="F14" s="18" t="n"/>
      <c r="G14" s="18" t="n"/>
    </row>
    <row r="15" ht="24" customHeight="1">
      <c r="A15" s="18" t="n"/>
      <c r="B15" s="55" t="inlineStr">
        <is>
          <t>Highest Salary</t>
        </is>
      </c>
      <c r="C15" s="62">
        <f>IFERROR(MAX(Applications!G2:G500),0)</f>
        <v/>
      </c>
      <c r="D15" s="18" t="n"/>
      <c r="E15" s="55" t="inlineStr">
        <is>
          <t>Most Common Job Title</t>
        </is>
      </c>
      <c r="F15" s="56">
        <f>IFERROR(INDEX(Applications!C2:C500,MODE.MATCH(Applications!C2:C500)),0)</f>
        <v/>
      </c>
      <c r="G15" s="18" t="n"/>
    </row>
    <row r="16" ht="24" customHeight="1">
      <c r="A16" s="18" t="n"/>
      <c r="B16" s="46" t="inlineStr">
        <is>
          <t>Lowest Salary</t>
        </is>
      </c>
      <c r="C16" s="63">
        <f>IFERROR(MINIFS(Applications!G2:G500,Applications!G2:G500,"&gt;0"),0)</f>
        <v/>
      </c>
      <c r="D16" s="18" t="n"/>
      <c r="E16" s="46" t="inlineStr">
        <is>
          <t>Most Common Location</t>
        </is>
      </c>
      <c r="F16" s="61">
        <f>IFERROR(INDEX(Applications!D2:D500,MODE.MATCH(Applications!D2:D500)),0)</f>
        <v/>
      </c>
      <c r="G16" s="18" t="n"/>
    </row>
    <row r="17" ht="24" customHeight="1">
      <c r="A17" s="18" t="n"/>
      <c r="B17" s="55" t="inlineStr">
        <is>
          <t>Average Salary</t>
        </is>
      </c>
      <c r="C17" s="62">
        <f>IFERROR(AVERAGEIF(Applications!G2:G500,"&gt;0"),0)</f>
        <v/>
      </c>
      <c r="D17" s="18" t="n"/>
      <c r="E17" s="55" t="inlineStr">
        <is>
          <t>Most Successful Source</t>
        </is>
      </c>
      <c r="F17" s="56">
        <f>IFERROR(INDEX(Applications!H2:H500,MATCH(MAX(COUNTIFS(Applications!H2:H500,Applications!H2:H500,Applications!J2:J500,"Offer")+COUNTIFS(Applications!H2:H500,Applications!H2:H500,Applications!J2:J500,"Accepted")),COUNTIFS(Applications!H2:H500,Applications!H2:H500,Applications!J2:J500,"Offer")+COUNTIFS(Applications!H2:H500,Applications!H2:H500,Applications!J2:J500,"Accepted"),0)),0)</f>
        <v/>
      </c>
      <c r="G17" s="18" t="n"/>
    </row>
    <row r="18" ht="24" customHeight="1">
      <c r="A18" s="18" t="n"/>
      <c r="B18" s="46" t="inlineStr">
        <is>
          <t>Median Salary</t>
        </is>
      </c>
      <c r="C18" s="63">
        <f>IFERROR(MEDIAN(IF(Applications!G2:G500&gt;0,Applications!G2:G500)),0)</f>
        <v/>
      </c>
      <c r="D18" s="18" t="n"/>
      <c r="E18" s="46" t="inlineStr">
        <is>
          <t>Most Applied Company</t>
        </is>
      </c>
      <c r="F18" s="61">
        <f>IFERROR(INDEX(Applications!B2:B500,MATCH(MAX(COUNTIF(Applications!B2:B500,Applications!B2:B500)),COUNTIF(Applications!B2:B500,Applications!B2:B500),0)),0)</f>
        <v/>
      </c>
      <c r="G18" s="18" t="n"/>
    </row>
    <row r="19" ht="24" customHeight="1">
      <c r="A19" s="18" t="n"/>
      <c r="B19" s="55" t="inlineStr">
        <is>
          <t>Avg Fit Score</t>
        </is>
      </c>
      <c r="C19" s="60">
        <f>IFERROR(ROUND(AVERAGEIF(Applications!L2:L500,"&gt;0"),1),0)</f>
        <v/>
      </c>
      <c r="D19" s="18" t="n"/>
      <c r="E19" s="55" t="inlineStr">
        <is>
          <t>Total Companies</t>
        </is>
      </c>
      <c r="F19" s="56">
        <f>IFERROR(SUMPRODUCT(1/COUNTIF(Applications!B2:B500,Applications!B2:B500&amp;"")),0)</f>
        <v/>
      </c>
      <c r="G19" s="18" t="n"/>
    </row>
    <row r="20" ht="24" customHeight="1">
      <c r="A20" s="18" t="n"/>
      <c r="B20" s="46" t="inlineStr">
        <is>
          <t>Avg Decision Score</t>
        </is>
      </c>
      <c r="C20" s="58">
        <f>IFERROR(ROUND(AVERAGE('Offer Decision Matrix'!R2:R500),1),0)</f>
        <v/>
      </c>
      <c r="D20" s="18" t="n"/>
      <c r="E20" s="46" t="inlineStr">
        <is>
          <t>Avg Days Active</t>
        </is>
      </c>
      <c r="F20" s="61">
        <f>IFERROR(ROUND(AVERAGE(Applications!AB2:AB500),0),0)</f>
        <v/>
      </c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</sheetData>
  <mergeCells count="7">
    <mergeCell ref="B4:F4"/>
    <mergeCell ref="B6:C6"/>
    <mergeCell ref="E6:F6"/>
    <mergeCell ref="B2:F2"/>
    <mergeCell ref="B3:F3"/>
    <mergeCell ref="B14:C14"/>
    <mergeCell ref="E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B7B8D"/>
    <outlinePr summaryBelow="1" summaryRight="1"/>
    <pageSetUpPr/>
  </sheetPr>
  <dimension ref="A1:G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28" customHeight="1">
      <c r="A1" s="45" t="n"/>
      <c r="B1" s="45" t="n"/>
      <c r="C1" s="45" t="n"/>
      <c r="D1" s="45" t="n"/>
      <c r="E1" s="45" t="n"/>
      <c r="F1" s="45" t="n"/>
      <c r="G1" s="45" t="n"/>
    </row>
    <row r="2" ht="22" customHeight="1">
      <c r="A2" s="46" t="n"/>
      <c r="B2" s="46" t="inlineStr">
        <is>
          <t>Notes</t>
        </is>
      </c>
      <c r="C2" s="46" t="n"/>
      <c r="D2" s="46" t="n"/>
      <c r="E2" s="46" t="n"/>
      <c r="F2" s="46" t="n"/>
      <c r="G2" s="46" t="n"/>
    </row>
    <row r="3" ht="22" customHeight="1">
      <c r="A3" s="48" t="n"/>
      <c r="B3" s="48" t="n"/>
      <c r="C3" s="48" t="n"/>
      <c r="D3" s="48" t="n"/>
      <c r="E3" s="48" t="n"/>
      <c r="F3" s="48" t="n"/>
      <c r="G3" s="48" t="n"/>
    </row>
    <row r="4" ht="22" customHeight="1">
      <c r="A4" s="46" t="n"/>
      <c r="B4" s="46" t="inlineStr">
        <is>
          <t>General Notes</t>
        </is>
      </c>
      <c r="C4" s="46" t="n"/>
      <c r="D4" s="46" t="n"/>
      <c r="E4" s="46" t="n"/>
      <c r="F4" s="46" t="n"/>
      <c r="G4" s="46" t="n"/>
    </row>
    <row r="5" ht="22" customHeight="1">
      <c r="A5" s="48" t="n"/>
      <c r="B5" s="48" t="inlineStr"/>
      <c r="C5" s="48" t="n"/>
      <c r="D5" s="48" t="n"/>
      <c r="E5" s="48" t="n"/>
      <c r="F5" s="48" t="n"/>
      <c r="G5" s="48" t="n"/>
    </row>
  </sheetData>
  <mergeCells count="1"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5CF6"/>
    <outlinePr summaryBelow="1" summaryRight="1"/>
    <pageSetUpPr/>
  </sheetPr>
  <dimension ref="A1:O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8" customHeight="1">
      <c r="A1" s="45" t="inlineStr">
        <is>
          <t>Project Name</t>
        </is>
      </c>
      <c r="B1" s="45" t="inlineStr">
        <is>
          <t>Description</t>
        </is>
      </c>
      <c r="C1" s="45" t="inlineStr">
        <is>
          <t>Status</t>
        </is>
      </c>
      <c r="D1" s="45" t="inlineStr">
        <is>
          <t>Start Date</t>
        </is>
      </c>
      <c r="E1" s="45" t="inlineStr">
        <is>
          <t>Completion Date</t>
        </is>
      </c>
      <c r="F1" s="45" t="inlineStr">
        <is>
          <t>Type</t>
        </is>
      </c>
      <c r="G1" s="45" t="inlineStr">
        <is>
          <t>Tech Stack</t>
        </is>
      </c>
      <c r="H1" s="45" t="inlineStr">
        <is>
          <t>GitHub URL</t>
        </is>
      </c>
      <c r="I1" s="45" t="inlineStr">
        <is>
          <t>Live Demo</t>
        </is>
      </c>
      <c r="J1" s="45" t="inlineStr">
        <is>
          <t>Skills Demonstrated</t>
        </is>
      </c>
      <c r="K1" s="45" t="inlineStr">
        <is>
          <t>Complexity</t>
        </is>
      </c>
      <c r="L1" s="45" t="inlineStr">
        <is>
          <t>Time Investment</t>
        </is>
      </c>
      <c r="M1" s="45" t="inlineStr">
        <is>
          <t>Showcase Ready</t>
        </is>
      </c>
      <c r="N1" s="45" t="inlineStr">
        <is>
          <t>Interview Worthy</t>
        </is>
      </c>
      <c r="O1" s="45" t="inlineStr">
        <is>
          <t>Notes</t>
        </is>
      </c>
    </row>
    <row r="2" ht="22" customHeight="1">
      <c r="A2" s="46" t="inlineStr">
        <is>
          <t>E-Commerce Platform</t>
        </is>
      </c>
      <c r="B2" s="46" t="inlineStr">
        <is>
          <t>Full-stack e-commerce solution</t>
        </is>
      </c>
      <c r="C2" s="46" t="inlineStr">
        <is>
          <t>Completed</t>
        </is>
      </c>
      <c r="D2" s="46" t="inlineStr">
        <is>
          <t>2026-01-15</t>
        </is>
      </c>
      <c r="E2" s="46" t="inlineStr">
        <is>
          <t>2026-03-30</t>
        </is>
      </c>
      <c r="F2" s="46" t="inlineStr">
        <is>
          <t>Web App</t>
        </is>
      </c>
      <c r="G2" s="46" t="inlineStr">
        <is>
          <t>React, Node.js, MongoDB, Stripe</t>
        </is>
      </c>
      <c r="H2" s="46" t="inlineStr">
        <is>
          <t>github.com/user/ecommerce</t>
        </is>
      </c>
      <c r="I2" s="46" t="inlineStr">
        <is>
          <t>demo.example.com</t>
        </is>
      </c>
      <c r="J2" s="46" t="inlineStr">
        <is>
          <t>Frontend, Backend, Database, API</t>
        </is>
      </c>
      <c r="K2" s="46" t="inlineStr">
        <is>
          <t>Advanced</t>
        </is>
      </c>
      <c r="L2" s="46" t="inlineStr">
        <is>
          <t>120 hours</t>
        </is>
      </c>
      <c r="M2" s="46" t="inlineStr">
        <is>
          <t>Ready</t>
        </is>
      </c>
      <c r="N2" s="46" t="inlineStr">
        <is>
          <t>Yes</t>
        </is>
      </c>
      <c r="O2" s="46" t="inlineStr"/>
    </row>
  </sheetData>
  <autoFilter ref="A1:O500"/>
  <dataValidations count="3">
    <dataValidation sqref="C2:C500" showDropDown="0" showInputMessage="0" showErrorMessage="0" allowBlank="1" errorTitle="Invalid Entry" error="Please select a value from the dropdown" promptTitle="Choose" prompt="Select from dropdown" type="list">
      <formula1>"Not Started,In Progress,Completed,On Hold"</formula1>
    </dataValidation>
    <dataValidation sqref="M2:M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N2:N500" showDropDown="0" showInputMessage="0" showErrorMessage="0" allowBlank="1" errorTitle="Invalid Entry" error="Please select a value from the dropdown" promptTitle="Choose" prompt="Select from dropdown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4B8A6"/>
    <outlinePr summaryBelow="1" summaryRight="1"/>
    <pageSetUpPr/>
  </sheetPr>
  <dimension ref="A1:S5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5" customWidth="1" min="4" max="4"/>
    <col width="14" customWidth="1" min="5" max="5"/>
    <col width="16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14" customWidth="1" min="15" max="15"/>
    <col width="10" customWidth="1" min="16" max="16"/>
    <col width="10" customWidth="1" min="17" max="17"/>
    <col width="10" customWidth="1" min="18" max="18"/>
    <col width="30" customWidth="1" min="19" max="19"/>
  </cols>
  <sheetData>
    <row r="1" ht="28" customHeight="1">
      <c r="A1" s="45" t="inlineStr">
        <is>
          <t>Contact Name</t>
        </is>
      </c>
      <c r="B1" s="45" t="inlineStr">
        <is>
          <t>Company</t>
        </is>
      </c>
      <c r="C1" s="45" t="inlineStr">
        <is>
          <t>LinkedIn</t>
        </is>
      </c>
      <c r="D1" s="45" t="inlineStr">
        <is>
          <t>Email</t>
        </is>
      </c>
      <c r="E1" s="45" t="inlineStr">
        <is>
          <t>Connection Date</t>
        </is>
      </c>
      <c r="F1" s="45" t="inlineStr">
        <is>
          <t>Connection Type</t>
        </is>
      </c>
      <c r="G1" s="45" t="inlineStr">
        <is>
          <t>Platform</t>
        </is>
      </c>
      <c r="H1" s="45" t="inlineStr">
        <is>
          <t>Relationship Type</t>
        </is>
      </c>
      <c r="I1" s="45" t="inlineStr">
        <is>
          <t>Last Contact</t>
        </is>
      </c>
      <c r="J1" s="45" t="inlineStr">
        <is>
          <t>Next Follow-up</t>
        </is>
      </c>
      <c r="K1" s="45" t="inlineStr">
        <is>
          <t>Follow-up Status</t>
        </is>
      </c>
      <c r="L1" s="45" t="inlineStr">
        <is>
          <t>Meeting Scheduled</t>
        </is>
      </c>
      <c r="M1" s="45" t="inlineStr">
        <is>
          <t>Coffee Chat</t>
        </is>
      </c>
      <c r="N1" s="45" t="inlineStr">
        <is>
          <t>Referral Requested</t>
        </is>
      </c>
      <c r="O1" s="45" t="inlineStr">
        <is>
          <t>Referral Received</t>
        </is>
      </c>
      <c r="P1" s="45" t="inlineStr">
        <is>
          <t>Priority</t>
        </is>
      </c>
      <c r="Q1" s="45" t="inlineStr">
        <is>
          <t>Network Score</t>
        </is>
      </c>
      <c r="R1" s="45" t="inlineStr">
        <is>
          <t>Relationship Score</t>
        </is>
      </c>
      <c r="S1" s="45" t="inlineStr">
        <is>
          <t>Notes</t>
        </is>
      </c>
    </row>
    <row r="2" ht="22" customHeight="1">
      <c r="A2" s="46" t="inlineStr">
        <is>
          <t>Jane Smith</t>
        </is>
      </c>
      <c r="B2" s="46" t="inlineStr">
        <is>
          <t>Google</t>
        </is>
      </c>
      <c r="C2" s="46" t="inlineStr">
        <is>
          <t>linkedin.com/in/janesmith</t>
        </is>
      </c>
      <c r="D2" s="46" t="inlineStr">
        <is>
          <t>jane@google.com</t>
        </is>
      </c>
      <c r="E2" s="46" t="inlineStr">
        <is>
          <t>2026-06-29</t>
        </is>
      </c>
      <c r="F2" s="46" t="inlineStr">
        <is>
          <t>LinkedIn Connection</t>
        </is>
      </c>
      <c r="G2" s="46" t="inlineStr"/>
      <c r="H2" s="46" t="inlineStr">
        <is>
          <t>LinkedIn Connection</t>
        </is>
      </c>
      <c r="I2" s="46" t="inlineStr">
        <is>
          <t>8</t>
        </is>
      </c>
      <c r="J2" s="46" t="inlineStr">
        <is>
          <t>Not Asked</t>
        </is>
      </c>
      <c r="K2" s="46" t="inlineStr"/>
      <c r="L2" s="46" t="inlineStr">
        <is>
          <t>No</t>
        </is>
      </c>
      <c r="M2" s="46" t="inlineStr">
        <is>
          <t>No</t>
        </is>
      </c>
      <c r="N2" s="46" t="n"/>
      <c r="O2" s="46" t="n"/>
      <c r="P2" s="46" t="n"/>
      <c r="Q2" s="46" t="inlineStr">
        <is>
          <t>8</t>
        </is>
      </c>
      <c r="R2" s="46" t="n"/>
      <c r="S2" s="46" t="inlineStr">
        <is>
          <t>No</t>
        </is>
      </c>
    </row>
    <row r="3" ht="22" customHeigh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</row>
    <row r="4" ht="22" customHeight="1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</row>
    <row r="5" ht="22" customHeight="1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</row>
    <row r="6" ht="22" customHeight="1">
      <c r="A6" s="46" t="n"/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</row>
    <row r="7" ht="22" customHeight="1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</row>
    <row r="8" ht="22" customHeight="1">
      <c r="A8" s="46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</row>
    <row r="9" ht="22" customHeight="1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</row>
    <row r="10" ht="22" customHeight="1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</row>
    <row r="11" ht="22" customHeight="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</row>
    <row r="12" ht="22" customHeight="1">
      <c r="A12" s="46" t="n"/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</row>
    <row r="13" ht="22" customHeight="1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</row>
    <row r="14" ht="22" customHeight="1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</row>
    <row r="15" ht="22" customHeight="1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</row>
    <row r="16" ht="22" customHeight="1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</row>
    <row r="17" ht="22" customHeight="1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</row>
    <row r="18" ht="22" customHeight="1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</row>
    <row r="19" ht="22" customHeight="1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</row>
    <row r="20" ht="22" customHeight="1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</row>
    <row r="21" ht="22" customHeight="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</row>
    <row r="22" ht="22" customHeight="1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</row>
    <row r="23" ht="22" customHeight="1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</row>
    <row r="24" ht="22" customHeight="1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</row>
    <row r="25" ht="22" customHeight="1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</row>
    <row r="26" ht="22" customHeight="1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</row>
    <row r="27" ht="22" customHeight="1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</row>
    <row r="28" ht="22" customHeight="1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</row>
    <row r="29" ht="22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</row>
    <row r="30" ht="22" customHeight="1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 t="n"/>
      <c r="S30" s="46" t="n"/>
    </row>
    <row r="31" ht="22" customHeight="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</row>
    <row r="32" ht="22" customHeight="1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 t="n"/>
      <c r="S32" s="46" t="n"/>
    </row>
    <row r="33" ht="22" customHeight="1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</row>
    <row r="34" ht="22" customHeight="1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 t="n"/>
      <c r="S34" s="46" t="n"/>
    </row>
    <row r="35" ht="22" customHeight="1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</row>
    <row r="36" ht="22" customHeight="1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 t="n"/>
      <c r="S36" s="46" t="n"/>
    </row>
    <row r="37" ht="22" customHeight="1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</row>
    <row r="38" ht="22" customHeight="1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 t="n"/>
      <c r="S38" s="46" t="n"/>
    </row>
    <row r="39" ht="22" customHeight="1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</row>
    <row r="40" ht="22" customHeight="1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 t="n"/>
      <c r="S40" s="46" t="n"/>
    </row>
    <row r="41" ht="22" customHeight="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</row>
    <row r="42" ht="22" customHeight="1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 t="n"/>
      <c r="S42" s="46" t="n"/>
    </row>
    <row r="43" ht="22" customHeight="1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</row>
    <row r="44" ht="22" customHeight="1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</row>
    <row r="45" ht="22" customHeight="1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</row>
    <row r="46" ht="22" customHeight="1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</row>
    <row r="47" ht="22" customHeight="1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</row>
    <row r="48" ht="22" customHeight="1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</row>
    <row r="49" ht="22" customHeight="1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</row>
    <row r="50" ht="22" customHeight="1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</row>
    <row r="51" ht="22" customHeight="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</row>
    <row r="52" ht="22" customHeight="1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</row>
    <row r="53" ht="22" customHeight="1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</row>
    <row r="54" ht="22" customHeight="1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</row>
    <row r="55" ht="22" customHeight="1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</row>
    <row r="56" ht="22" customHeight="1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</row>
    <row r="57" ht="22" customHeight="1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</row>
    <row r="58" ht="22" customHeight="1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</row>
    <row r="59" ht="22" customHeight="1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</row>
    <row r="60" ht="22" customHeight="1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</row>
    <row r="61" ht="22" customHeight="1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</row>
    <row r="62" ht="22" customHeight="1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</row>
    <row r="63" ht="22" customHeight="1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</row>
    <row r="64" ht="22" customHeight="1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</row>
    <row r="65" ht="22" customHeight="1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</row>
    <row r="66" ht="22" customHeight="1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</row>
    <row r="67" ht="22" customHeight="1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</row>
    <row r="68" ht="22" customHeight="1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</row>
    <row r="69" ht="22" customHeight="1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</row>
    <row r="70" ht="22" customHeight="1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</row>
    <row r="71" ht="22" customHeight="1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</row>
    <row r="72" ht="22" customHeight="1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</row>
    <row r="73" ht="22" customHeight="1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</row>
    <row r="74" ht="22" customHeight="1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</row>
    <row r="75" ht="22" customHeight="1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</row>
    <row r="76" ht="22" customHeight="1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</row>
    <row r="77" ht="22" customHeight="1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</row>
    <row r="78" ht="22" customHeight="1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</row>
    <row r="79" ht="22" customHeight="1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</row>
    <row r="80" ht="22" customHeight="1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</row>
    <row r="81" ht="22" customHeight="1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</row>
    <row r="82" ht="22" customHeight="1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</row>
    <row r="83" ht="22" customHeight="1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</row>
    <row r="84" ht="22" customHeight="1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</row>
    <row r="85" ht="22" customHeight="1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</row>
    <row r="86" ht="22" customHeight="1">
      <c r="A86" s="46" t="n"/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</row>
    <row r="87" ht="22" customHeight="1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</row>
    <row r="88" ht="22" customHeight="1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</row>
    <row r="89" ht="22" customHeight="1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</row>
    <row r="90" ht="22" customHeight="1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</row>
    <row r="91" ht="22" customHeight="1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</row>
    <row r="92" ht="22" customHeight="1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</row>
    <row r="93" ht="22" customHeight="1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</row>
    <row r="94" ht="22" customHeight="1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</row>
    <row r="95" ht="22" customHeight="1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</row>
    <row r="96" ht="22" customHeight="1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</row>
    <row r="97" ht="22" customHeight="1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</row>
    <row r="98" ht="22" customHeight="1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</row>
    <row r="99" ht="22" customHeight="1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</row>
    <row r="100" ht="22" customHeight="1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</row>
    <row r="101" ht="22" customHeight="1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</row>
    <row r="102" ht="22" customHeight="1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</row>
    <row r="103" ht="22" customHeight="1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</row>
    <row r="104" ht="22" customHeight="1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</row>
    <row r="105" ht="22" customHeight="1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</row>
    <row r="106" ht="22" customHeight="1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</row>
    <row r="107" ht="22" customHeight="1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</row>
    <row r="108" ht="22" customHeight="1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</row>
    <row r="109" ht="22" customHeight="1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</row>
    <row r="110" ht="22" customHeight="1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</row>
    <row r="111" ht="22" customHeight="1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</row>
    <row r="112" ht="22" customHeight="1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</row>
    <row r="113" ht="22" customHeight="1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</row>
    <row r="114" ht="22" customHeight="1">
      <c r="A114" s="46" t="n"/>
      <c r="B114" s="46" t="n"/>
      <c r="C114" s="46" t="n"/>
      <c r="D114" s="46" t="n"/>
      <c r="E114" s="46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</row>
    <row r="115" ht="22" customHeight="1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</row>
    <row r="116" ht="22" customHeight="1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</row>
    <row r="117" ht="22" customHeight="1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</row>
    <row r="118" ht="22" customHeight="1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</row>
    <row r="119" ht="22" customHeight="1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</row>
    <row r="120" ht="22" customHeight="1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</row>
    <row r="121" ht="22" customHeight="1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</row>
    <row r="122" ht="22" customHeight="1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</row>
    <row r="123" ht="22" customHeight="1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</row>
    <row r="124" ht="22" customHeight="1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</row>
    <row r="125" ht="22" customHeight="1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</row>
    <row r="126" ht="22" customHeight="1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</row>
    <row r="127" ht="22" customHeight="1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</row>
    <row r="128" ht="22" customHeight="1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</row>
    <row r="129" ht="22" customHeight="1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</row>
    <row r="130" ht="22" customHeight="1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</row>
    <row r="131" ht="22" customHeight="1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</row>
    <row r="132" ht="22" customHeight="1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</row>
    <row r="133" ht="22" customHeight="1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</row>
    <row r="134" ht="22" customHeight="1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</row>
    <row r="135" ht="22" customHeight="1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</row>
    <row r="136" ht="22" customHeight="1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</row>
    <row r="137" ht="22" customHeight="1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</row>
    <row r="138" ht="22" customHeight="1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</row>
    <row r="139" ht="22" customHeight="1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</row>
    <row r="140" ht="22" customHeight="1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</row>
    <row r="141" ht="22" customHeight="1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</row>
    <row r="142" ht="22" customHeight="1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</row>
    <row r="143" ht="22" customHeight="1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</row>
    <row r="144" ht="22" customHeight="1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</row>
    <row r="145" ht="22" customHeight="1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</row>
    <row r="146" ht="22" customHeight="1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</row>
    <row r="147" ht="22" customHeight="1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</row>
    <row r="148" ht="22" customHeight="1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</row>
    <row r="149" ht="22" customHeight="1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</row>
    <row r="150" ht="22" customHeight="1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 t="n"/>
      <c r="S150" s="46" t="n"/>
    </row>
    <row r="151" ht="22" customHeight="1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</row>
    <row r="152" ht="22" customHeight="1">
      <c r="A152" s="46" t="n"/>
      <c r="B152" s="46" t="n"/>
      <c r="C152" s="46" t="n"/>
      <c r="D152" s="46" t="n"/>
      <c r="E152" s="46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  <c r="S152" s="46" t="n"/>
    </row>
    <row r="153" ht="22" customHeight="1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</row>
    <row r="154" ht="22" customHeight="1">
      <c r="A154" s="46" t="n"/>
      <c r="B154" s="46" t="n"/>
      <c r="C154" s="46" t="n"/>
      <c r="D154" s="46" t="n"/>
      <c r="E154" s="46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 t="n"/>
      <c r="S154" s="46" t="n"/>
    </row>
    <row r="155" ht="22" customHeight="1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</row>
    <row r="156" ht="22" customHeight="1">
      <c r="A156" s="46" t="n"/>
      <c r="B156" s="46" t="n"/>
      <c r="C156" s="46" t="n"/>
      <c r="D156" s="46" t="n"/>
      <c r="E156" s="46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 t="n"/>
      <c r="S156" s="46" t="n"/>
    </row>
    <row r="157" ht="22" customHeight="1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</row>
    <row r="158" ht="22" customHeight="1">
      <c r="A158" s="46" t="n"/>
      <c r="B158" s="46" t="n"/>
      <c r="C158" s="46" t="n"/>
      <c r="D158" s="46" t="n"/>
      <c r="E158" s="46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 t="n"/>
      <c r="S158" s="46" t="n"/>
    </row>
    <row r="159" ht="22" customHeight="1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</row>
    <row r="160" ht="22" customHeight="1">
      <c r="A160" s="46" t="n"/>
      <c r="B160" s="46" t="n"/>
      <c r="C160" s="46" t="n"/>
      <c r="D160" s="46" t="n"/>
      <c r="E160" s="46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 t="n"/>
      <c r="S160" s="46" t="n"/>
    </row>
    <row r="161" ht="22" customHeight="1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</row>
    <row r="162" ht="22" customHeight="1">
      <c r="A162" s="46" t="n"/>
      <c r="B162" s="46" t="n"/>
      <c r="C162" s="46" t="n"/>
      <c r="D162" s="46" t="n"/>
      <c r="E162" s="46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 t="n"/>
      <c r="S162" s="46" t="n"/>
    </row>
    <row r="163" ht="22" customHeight="1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</row>
    <row r="164" ht="22" customHeight="1">
      <c r="A164" s="46" t="n"/>
      <c r="B164" s="46" t="n"/>
      <c r="C164" s="46" t="n"/>
      <c r="D164" s="46" t="n"/>
      <c r="E164" s="46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 t="n"/>
      <c r="S164" s="46" t="n"/>
    </row>
    <row r="165" ht="22" customHeight="1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</row>
    <row r="166" ht="22" customHeight="1">
      <c r="A166" s="46" t="n"/>
      <c r="B166" s="46" t="n"/>
      <c r="C166" s="46" t="n"/>
      <c r="D166" s="46" t="n"/>
      <c r="E166" s="46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 t="n"/>
      <c r="S166" s="46" t="n"/>
    </row>
    <row r="167" ht="22" customHeight="1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</row>
    <row r="168" ht="22" customHeight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 t="n"/>
      <c r="S168" s="46" t="n"/>
    </row>
    <row r="169" ht="22" customHeight="1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</row>
    <row r="170" ht="22" customHeight="1">
      <c r="A170" s="46" t="n"/>
      <c r="B170" s="46" t="n"/>
      <c r="C170" s="46" t="n"/>
      <c r="D170" s="46" t="n"/>
      <c r="E170" s="46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 t="n"/>
      <c r="S170" s="46" t="n"/>
    </row>
    <row r="171" ht="22" customHeight="1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</row>
    <row r="172" ht="22" customHeight="1">
      <c r="A172" s="46" t="n"/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</row>
    <row r="173" ht="22" customHeight="1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</row>
    <row r="174" ht="22" customHeight="1">
      <c r="A174" s="46" t="n"/>
      <c r="B174" s="46" t="n"/>
      <c r="C174" s="46" t="n"/>
      <c r="D174" s="46" t="n"/>
      <c r="E174" s="46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</row>
    <row r="175" ht="22" customHeight="1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</row>
    <row r="176" ht="22" customHeight="1">
      <c r="A176" s="46" t="n"/>
      <c r="B176" s="46" t="n"/>
      <c r="C176" s="46" t="n"/>
      <c r="D176" s="46" t="n"/>
      <c r="E176" s="46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</row>
    <row r="177" ht="22" customHeight="1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</row>
    <row r="178" ht="22" customHeight="1">
      <c r="A178" s="46" t="n"/>
      <c r="B178" s="46" t="n"/>
      <c r="C178" s="46" t="n"/>
      <c r="D178" s="46" t="n"/>
      <c r="E178" s="46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</row>
    <row r="179" ht="22" customHeight="1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</row>
    <row r="180" ht="22" customHeight="1">
      <c r="A180" s="46" t="n"/>
      <c r="B180" s="46" t="n"/>
      <c r="C180" s="46" t="n"/>
      <c r="D180" s="46" t="n"/>
      <c r="E180" s="46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</row>
    <row r="181" ht="22" customHeight="1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</row>
    <row r="182" ht="22" customHeight="1">
      <c r="A182" s="46" t="n"/>
      <c r="B182" s="46" t="n"/>
      <c r="C182" s="46" t="n"/>
      <c r="D182" s="46" t="n"/>
      <c r="E182" s="46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</row>
    <row r="183" ht="22" customHeight="1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</row>
    <row r="184" ht="22" customHeight="1">
      <c r="A184" s="46" t="n"/>
      <c r="B184" s="46" t="n"/>
      <c r="C184" s="46" t="n"/>
      <c r="D184" s="46" t="n"/>
      <c r="E184" s="46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</row>
    <row r="185" ht="22" customHeight="1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</row>
    <row r="186" ht="22" customHeight="1">
      <c r="A186" s="46" t="n"/>
      <c r="B186" s="46" t="n"/>
      <c r="C186" s="46" t="n"/>
      <c r="D186" s="46" t="n"/>
      <c r="E186" s="46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</row>
    <row r="187" ht="22" customHeight="1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</row>
    <row r="188" ht="22" customHeight="1">
      <c r="A188" s="46" t="n"/>
      <c r="B188" s="46" t="n"/>
      <c r="C188" s="46" t="n"/>
      <c r="D188" s="46" t="n"/>
      <c r="E188" s="46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</row>
    <row r="189" ht="22" customHeight="1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</row>
    <row r="190" ht="22" customHeight="1">
      <c r="A190" s="46" t="n"/>
      <c r="B190" s="46" t="n"/>
      <c r="C190" s="46" t="n"/>
      <c r="D190" s="46" t="n"/>
      <c r="E190" s="46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</row>
    <row r="191" ht="22" customHeight="1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</row>
    <row r="192" ht="22" customHeight="1">
      <c r="A192" s="46" t="n"/>
      <c r="B192" s="46" t="n"/>
      <c r="C192" s="46" t="n"/>
      <c r="D192" s="46" t="n"/>
      <c r="E192" s="46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</row>
    <row r="193" ht="22" customHeight="1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</row>
    <row r="194" ht="22" customHeight="1">
      <c r="A194" s="46" t="n"/>
      <c r="B194" s="46" t="n"/>
      <c r="C194" s="46" t="n"/>
      <c r="D194" s="46" t="n"/>
      <c r="E194" s="46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</row>
    <row r="195" ht="22" customHeight="1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</row>
    <row r="196" ht="22" customHeight="1">
      <c r="A196" s="46" t="n"/>
      <c r="B196" s="46" t="n"/>
      <c r="C196" s="46" t="n"/>
      <c r="D196" s="46" t="n"/>
      <c r="E196" s="46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</row>
    <row r="197" ht="22" customHeight="1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</row>
    <row r="198" ht="22" customHeight="1">
      <c r="A198" s="46" t="n"/>
      <c r="B198" s="46" t="n"/>
      <c r="C198" s="46" t="n"/>
      <c r="D198" s="46" t="n"/>
      <c r="E198" s="46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</row>
    <row r="199" ht="22" customHeight="1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</row>
    <row r="200" ht="22" customHeight="1">
      <c r="A200" s="46" t="n"/>
      <c r="B200" s="46" t="n"/>
      <c r="C200" s="46" t="n"/>
      <c r="D200" s="46" t="n"/>
      <c r="E200" s="46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</row>
    <row r="201" ht="22" customHeight="1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</row>
    <row r="202" ht="22" customHeight="1">
      <c r="A202" s="46" t="n"/>
      <c r="B202" s="46" t="n"/>
      <c r="C202" s="46" t="n"/>
      <c r="D202" s="46" t="n"/>
      <c r="E202" s="46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</row>
    <row r="203" ht="22" customHeight="1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</row>
    <row r="204" ht="22" customHeight="1">
      <c r="A204" s="46" t="n"/>
      <c r="B204" s="46" t="n"/>
      <c r="C204" s="46" t="n"/>
      <c r="D204" s="46" t="n"/>
      <c r="E204" s="46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</row>
    <row r="205" ht="22" customHeight="1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</row>
    <row r="206" ht="22" customHeight="1">
      <c r="A206" s="46" t="n"/>
      <c r="B206" s="46" t="n"/>
      <c r="C206" s="46" t="n"/>
      <c r="D206" s="46" t="n"/>
      <c r="E206" s="46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</row>
    <row r="207" ht="22" customHeight="1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</row>
    <row r="208" ht="22" customHeight="1">
      <c r="A208" s="46" t="n"/>
      <c r="B208" s="46" t="n"/>
      <c r="C208" s="46" t="n"/>
      <c r="D208" s="46" t="n"/>
      <c r="E208" s="46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</row>
    <row r="209" ht="22" customHeight="1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</row>
    <row r="210" ht="22" customHeight="1">
      <c r="A210" s="46" t="n"/>
      <c r="B210" s="46" t="n"/>
      <c r="C210" s="46" t="n"/>
      <c r="D210" s="46" t="n"/>
      <c r="E210" s="46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</row>
    <row r="211" ht="22" customHeight="1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</row>
    <row r="212" ht="22" customHeight="1">
      <c r="A212" s="46" t="n"/>
      <c r="B212" s="46" t="n"/>
      <c r="C212" s="46" t="n"/>
      <c r="D212" s="46" t="n"/>
      <c r="E212" s="46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</row>
    <row r="213" ht="22" customHeight="1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</row>
    <row r="214" ht="22" customHeight="1">
      <c r="A214" s="46" t="n"/>
      <c r="B214" s="46" t="n"/>
      <c r="C214" s="46" t="n"/>
      <c r="D214" s="46" t="n"/>
      <c r="E214" s="46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</row>
    <row r="215" ht="22" customHeight="1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</row>
    <row r="216" ht="22" customHeight="1">
      <c r="A216" s="46" t="n"/>
      <c r="B216" s="46" t="n"/>
      <c r="C216" s="46" t="n"/>
      <c r="D216" s="46" t="n"/>
      <c r="E216" s="46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</row>
    <row r="217" ht="22" customHeight="1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</row>
    <row r="218" ht="22" customHeight="1">
      <c r="A218" s="46" t="n"/>
      <c r="B218" s="46" t="n"/>
      <c r="C218" s="46" t="n"/>
      <c r="D218" s="46" t="n"/>
      <c r="E218" s="46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</row>
    <row r="219" ht="22" customHeight="1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</row>
    <row r="220" ht="22" customHeight="1">
      <c r="A220" s="46" t="n"/>
      <c r="B220" s="46" t="n"/>
      <c r="C220" s="46" t="n"/>
      <c r="D220" s="46" t="n"/>
      <c r="E220" s="46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</row>
    <row r="221" ht="22" customHeight="1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</row>
    <row r="222" ht="22" customHeight="1">
      <c r="A222" s="46" t="n"/>
      <c r="B222" s="46" t="n"/>
      <c r="C222" s="46" t="n"/>
      <c r="D222" s="46" t="n"/>
      <c r="E222" s="46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</row>
    <row r="223" ht="22" customHeight="1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</row>
    <row r="224" ht="22" customHeight="1">
      <c r="A224" s="46" t="n"/>
      <c r="B224" s="46" t="n"/>
      <c r="C224" s="46" t="n"/>
      <c r="D224" s="46" t="n"/>
      <c r="E224" s="46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</row>
    <row r="225" ht="22" customHeight="1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</row>
    <row r="226" ht="22" customHeight="1">
      <c r="A226" s="46" t="n"/>
      <c r="B226" s="46" t="n"/>
      <c r="C226" s="46" t="n"/>
      <c r="D226" s="46" t="n"/>
      <c r="E226" s="46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</row>
    <row r="227" ht="22" customHeight="1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</row>
    <row r="228" ht="22" customHeight="1">
      <c r="A228" s="46" t="n"/>
      <c r="B228" s="46" t="n"/>
      <c r="C228" s="46" t="n"/>
      <c r="D228" s="46" t="n"/>
      <c r="E228" s="46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</row>
    <row r="229" ht="22" customHeight="1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</row>
    <row r="230" ht="22" customHeight="1">
      <c r="A230" s="46" t="n"/>
      <c r="B230" s="46" t="n"/>
      <c r="C230" s="46" t="n"/>
      <c r="D230" s="46" t="n"/>
      <c r="E230" s="46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</row>
    <row r="231" ht="22" customHeight="1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</row>
    <row r="232" ht="22" customHeight="1">
      <c r="A232" s="46" t="n"/>
      <c r="B232" s="46" t="n"/>
      <c r="C232" s="46" t="n"/>
      <c r="D232" s="46" t="n"/>
      <c r="E232" s="46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</row>
    <row r="233" ht="22" customHeight="1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</row>
    <row r="234" ht="22" customHeight="1">
      <c r="A234" s="46" t="n"/>
      <c r="B234" s="46" t="n"/>
      <c r="C234" s="46" t="n"/>
      <c r="D234" s="46" t="n"/>
      <c r="E234" s="46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</row>
    <row r="235" ht="22" customHeight="1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</row>
    <row r="236" ht="22" customHeight="1">
      <c r="A236" s="46" t="n"/>
      <c r="B236" s="46" t="n"/>
      <c r="C236" s="46" t="n"/>
      <c r="D236" s="46" t="n"/>
      <c r="E236" s="46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</row>
    <row r="237" ht="22" customHeight="1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</row>
    <row r="238" ht="22" customHeight="1">
      <c r="A238" s="46" t="n"/>
      <c r="B238" s="46" t="n"/>
      <c r="C238" s="46" t="n"/>
      <c r="D238" s="46" t="n"/>
      <c r="E238" s="46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</row>
    <row r="239" ht="22" customHeight="1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</row>
    <row r="240" ht="22" customHeight="1">
      <c r="A240" s="46" t="n"/>
      <c r="B240" s="46" t="n"/>
      <c r="C240" s="46" t="n"/>
      <c r="D240" s="46" t="n"/>
      <c r="E240" s="46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</row>
    <row r="241" ht="22" customHeight="1">
      <c r="A241" s="48" t="n"/>
      <c r="B241" s="48" t="n"/>
      <c r="C241" s="48" t="n"/>
      <c r="D241" s="48" t="n"/>
      <c r="E241" s="48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</row>
    <row r="242" ht="22" customHeight="1">
      <c r="A242" s="46" t="n"/>
      <c r="B242" s="46" t="n"/>
      <c r="C242" s="46" t="n"/>
      <c r="D242" s="46" t="n"/>
      <c r="E242" s="46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</row>
    <row r="243" ht="22" customHeight="1">
      <c r="A243" s="48" t="n"/>
      <c r="B243" s="48" t="n"/>
      <c r="C243" s="48" t="n"/>
      <c r="D243" s="48" t="n"/>
      <c r="E243" s="48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</row>
    <row r="244" ht="22" customHeight="1">
      <c r="A244" s="46" t="n"/>
      <c r="B244" s="46" t="n"/>
      <c r="C244" s="46" t="n"/>
      <c r="D244" s="46" t="n"/>
      <c r="E244" s="46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</row>
    <row r="245" ht="22" customHeight="1">
      <c r="A245" s="48" t="n"/>
      <c r="B245" s="48" t="n"/>
      <c r="C245" s="48" t="n"/>
      <c r="D245" s="48" t="n"/>
      <c r="E245" s="48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</row>
    <row r="246" ht="22" customHeight="1">
      <c r="A246" s="46" t="n"/>
      <c r="B246" s="46" t="n"/>
      <c r="C246" s="46" t="n"/>
      <c r="D246" s="46" t="n"/>
      <c r="E246" s="46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</row>
    <row r="247" ht="22" customHeight="1">
      <c r="A247" s="48" t="n"/>
      <c r="B247" s="48" t="n"/>
      <c r="C247" s="48" t="n"/>
      <c r="D247" s="48" t="n"/>
      <c r="E247" s="48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</row>
    <row r="248" ht="22" customHeight="1">
      <c r="A248" s="46" t="n"/>
      <c r="B248" s="46" t="n"/>
      <c r="C248" s="46" t="n"/>
      <c r="D248" s="46" t="n"/>
      <c r="E248" s="46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</row>
    <row r="249" ht="22" customHeight="1">
      <c r="A249" s="48" t="n"/>
      <c r="B249" s="48" t="n"/>
      <c r="C249" s="48" t="n"/>
      <c r="D249" s="48" t="n"/>
      <c r="E249" s="48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</row>
    <row r="250" ht="22" customHeight="1">
      <c r="A250" s="46" t="n"/>
      <c r="B250" s="46" t="n"/>
      <c r="C250" s="46" t="n"/>
      <c r="D250" s="46" t="n"/>
      <c r="E250" s="46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</row>
    <row r="251" ht="22" customHeight="1">
      <c r="A251" s="48" t="n"/>
      <c r="B251" s="48" t="n"/>
      <c r="C251" s="48" t="n"/>
      <c r="D251" s="48" t="n"/>
      <c r="E251" s="48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</row>
    <row r="252" ht="22" customHeight="1">
      <c r="A252" s="46" t="n"/>
      <c r="B252" s="46" t="n"/>
      <c r="C252" s="46" t="n"/>
      <c r="D252" s="46" t="n"/>
      <c r="E252" s="46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</row>
    <row r="253" ht="22" customHeight="1">
      <c r="A253" s="48" t="n"/>
      <c r="B253" s="48" t="n"/>
      <c r="C253" s="48" t="n"/>
      <c r="D253" s="48" t="n"/>
      <c r="E253" s="48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</row>
    <row r="254" ht="22" customHeight="1">
      <c r="A254" s="46" t="n"/>
      <c r="B254" s="46" t="n"/>
      <c r="C254" s="46" t="n"/>
      <c r="D254" s="46" t="n"/>
      <c r="E254" s="46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</row>
    <row r="255" ht="22" customHeight="1">
      <c r="A255" s="48" t="n"/>
      <c r="B255" s="48" t="n"/>
      <c r="C255" s="48" t="n"/>
      <c r="D255" s="48" t="n"/>
      <c r="E255" s="48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</row>
    <row r="256" ht="22" customHeight="1">
      <c r="A256" s="46" t="n"/>
      <c r="B256" s="46" t="n"/>
      <c r="C256" s="46" t="n"/>
      <c r="D256" s="46" t="n"/>
      <c r="E256" s="46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</row>
    <row r="257" ht="22" customHeight="1">
      <c r="A257" s="48" t="n"/>
      <c r="B257" s="48" t="n"/>
      <c r="C257" s="48" t="n"/>
      <c r="D257" s="48" t="n"/>
      <c r="E257" s="48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</row>
    <row r="258" ht="22" customHeight="1">
      <c r="A258" s="46" t="n"/>
      <c r="B258" s="46" t="n"/>
      <c r="C258" s="46" t="n"/>
      <c r="D258" s="46" t="n"/>
      <c r="E258" s="46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</row>
    <row r="259" ht="22" customHeight="1">
      <c r="A259" s="48" t="n"/>
      <c r="B259" s="48" t="n"/>
      <c r="C259" s="48" t="n"/>
      <c r="D259" s="48" t="n"/>
      <c r="E259" s="48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</row>
    <row r="260" ht="22" customHeight="1">
      <c r="A260" s="46" t="n"/>
      <c r="B260" s="46" t="n"/>
      <c r="C260" s="46" t="n"/>
      <c r="D260" s="46" t="n"/>
      <c r="E260" s="46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</row>
    <row r="261" ht="22" customHeight="1">
      <c r="A261" s="48" t="n"/>
      <c r="B261" s="48" t="n"/>
      <c r="C261" s="48" t="n"/>
      <c r="D261" s="48" t="n"/>
      <c r="E261" s="48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</row>
    <row r="262" ht="22" customHeight="1">
      <c r="A262" s="46" t="n"/>
      <c r="B262" s="46" t="n"/>
      <c r="C262" s="46" t="n"/>
      <c r="D262" s="46" t="n"/>
      <c r="E262" s="46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</row>
    <row r="263" ht="22" customHeight="1">
      <c r="A263" s="48" t="n"/>
      <c r="B263" s="48" t="n"/>
      <c r="C263" s="48" t="n"/>
      <c r="D263" s="48" t="n"/>
      <c r="E263" s="48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</row>
    <row r="264" ht="22" customHeight="1">
      <c r="A264" s="46" t="n"/>
      <c r="B264" s="46" t="n"/>
      <c r="C264" s="46" t="n"/>
      <c r="D264" s="46" t="n"/>
      <c r="E264" s="46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</row>
    <row r="265" ht="22" customHeight="1">
      <c r="A265" s="48" t="n"/>
      <c r="B265" s="48" t="n"/>
      <c r="C265" s="48" t="n"/>
      <c r="D265" s="48" t="n"/>
      <c r="E265" s="48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</row>
    <row r="266" ht="22" customHeight="1">
      <c r="A266" s="46" t="n"/>
      <c r="B266" s="46" t="n"/>
      <c r="C266" s="46" t="n"/>
      <c r="D266" s="46" t="n"/>
      <c r="E266" s="46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</row>
    <row r="267" ht="22" customHeight="1">
      <c r="A267" s="48" t="n"/>
      <c r="B267" s="48" t="n"/>
      <c r="C267" s="48" t="n"/>
      <c r="D267" s="48" t="n"/>
      <c r="E267" s="48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</row>
    <row r="268" ht="22" customHeight="1">
      <c r="A268" s="46" t="n"/>
      <c r="B268" s="46" t="n"/>
      <c r="C268" s="46" t="n"/>
      <c r="D268" s="46" t="n"/>
      <c r="E268" s="46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</row>
    <row r="269" ht="22" customHeight="1">
      <c r="A269" s="48" t="n"/>
      <c r="B269" s="48" t="n"/>
      <c r="C269" s="48" t="n"/>
      <c r="D269" s="48" t="n"/>
      <c r="E269" s="48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</row>
    <row r="270" ht="22" customHeight="1">
      <c r="A270" s="46" t="n"/>
      <c r="B270" s="46" t="n"/>
      <c r="C270" s="46" t="n"/>
      <c r="D270" s="46" t="n"/>
      <c r="E270" s="46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</row>
    <row r="271" ht="22" customHeight="1">
      <c r="A271" s="48" t="n"/>
      <c r="B271" s="48" t="n"/>
      <c r="C271" s="48" t="n"/>
      <c r="D271" s="48" t="n"/>
      <c r="E271" s="48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</row>
    <row r="272" ht="22" customHeight="1">
      <c r="A272" s="46" t="n"/>
      <c r="B272" s="46" t="n"/>
      <c r="C272" s="46" t="n"/>
      <c r="D272" s="46" t="n"/>
      <c r="E272" s="46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</row>
    <row r="273" ht="22" customHeight="1">
      <c r="A273" s="48" t="n"/>
      <c r="B273" s="48" t="n"/>
      <c r="C273" s="48" t="n"/>
      <c r="D273" s="48" t="n"/>
      <c r="E273" s="48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</row>
    <row r="274" ht="22" customHeight="1">
      <c r="A274" s="46" t="n"/>
      <c r="B274" s="46" t="n"/>
      <c r="C274" s="46" t="n"/>
      <c r="D274" s="46" t="n"/>
      <c r="E274" s="46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</row>
    <row r="275" ht="22" customHeight="1">
      <c r="A275" s="48" t="n"/>
      <c r="B275" s="48" t="n"/>
      <c r="C275" s="48" t="n"/>
      <c r="D275" s="48" t="n"/>
      <c r="E275" s="48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</row>
    <row r="276" ht="22" customHeight="1">
      <c r="A276" s="46" t="n"/>
      <c r="B276" s="46" t="n"/>
      <c r="C276" s="46" t="n"/>
      <c r="D276" s="46" t="n"/>
      <c r="E276" s="46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</row>
    <row r="277" ht="22" customHeight="1">
      <c r="A277" s="48" t="n"/>
      <c r="B277" s="48" t="n"/>
      <c r="C277" s="48" t="n"/>
      <c r="D277" s="48" t="n"/>
      <c r="E277" s="48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</row>
    <row r="278" ht="22" customHeight="1">
      <c r="A278" s="46" t="n"/>
      <c r="B278" s="46" t="n"/>
      <c r="C278" s="46" t="n"/>
      <c r="D278" s="46" t="n"/>
      <c r="E278" s="46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</row>
    <row r="279" ht="22" customHeight="1">
      <c r="A279" s="48" t="n"/>
      <c r="B279" s="48" t="n"/>
      <c r="C279" s="48" t="n"/>
      <c r="D279" s="48" t="n"/>
      <c r="E279" s="48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</row>
    <row r="280" ht="22" customHeight="1">
      <c r="A280" s="46" t="n"/>
      <c r="B280" s="46" t="n"/>
      <c r="C280" s="46" t="n"/>
      <c r="D280" s="46" t="n"/>
      <c r="E280" s="46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</row>
    <row r="281" ht="22" customHeight="1">
      <c r="A281" s="48" t="n"/>
      <c r="B281" s="48" t="n"/>
      <c r="C281" s="48" t="n"/>
      <c r="D281" s="48" t="n"/>
      <c r="E281" s="48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</row>
    <row r="282" ht="22" customHeight="1">
      <c r="A282" s="46" t="n"/>
      <c r="B282" s="46" t="n"/>
      <c r="C282" s="46" t="n"/>
      <c r="D282" s="46" t="n"/>
      <c r="E282" s="46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</row>
    <row r="283" ht="22" customHeight="1">
      <c r="A283" s="48" t="n"/>
      <c r="B283" s="48" t="n"/>
      <c r="C283" s="48" t="n"/>
      <c r="D283" s="48" t="n"/>
      <c r="E283" s="48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</row>
    <row r="284" ht="22" customHeight="1">
      <c r="A284" s="46" t="n"/>
      <c r="B284" s="46" t="n"/>
      <c r="C284" s="46" t="n"/>
      <c r="D284" s="46" t="n"/>
      <c r="E284" s="46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</row>
    <row r="285" ht="22" customHeight="1">
      <c r="A285" s="48" t="n"/>
      <c r="B285" s="48" t="n"/>
      <c r="C285" s="48" t="n"/>
      <c r="D285" s="48" t="n"/>
      <c r="E285" s="48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</row>
    <row r="286" ht="22" customHeight="1">
      <c r="A286" s="46" t="n"/>
      <c r="B286" s="46" t="n"/>
      <c r="C286" s="46" t="n"/>
      <c r="D286" s="46" t="n"/>
      <c r="E286" s="46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</row>
    <row r="287" ht="22" customHeight="1">
      <c r="A287" s="48" t="n"/>
      <c r="B287" s="48" t="n"/>
      <c r="C287" s="48" t="n"/>
      <c r="D287" s="48" t="n"/>
      <c r="E287" s="48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</row>
    <row r="288" ht="22" customHeight="1">
      <c r="A288" s="46" t="n"/>
      <c r="B288" s="46" t="n"/>
      <c r="C288" s="46" t="n"/>
      <c r="D288" s="46" t="n"/>
      <c r="E288" s="46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</row>
    <row r="289" ht="22" customHeight="1">
      <c r="A289" s="48" t="n"/>
      <c r="B289" s="48" t="n"/>
      <c r="C289" s="48" t="n"/>
      <c r="D289" s="48" t="n"/>
      <c r="E289" s="48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</row>
    <row r="290" ht="22" customHeight="1">
      <c r="A290" s="46" t="n"/>
      <c r="B290" s="46" t="n"/>
      <c r="C290" s="46" t="n"/>
      <c r="D290" s="46" t="n"/>
      <c r="E290" s="46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</row>
    <row r="291" ht="22" customHeight="1">
      <c r="A291" s="48" t="n"/>
      <c r="B291" s="48" t="n"/>
      <c r="C291" s="48" t="n"/>
      <c r="D291" s="48" t="n"/>
      <c r="E291" s="48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</row>
    <row r="292" ht="22" customHeight="1">
      <c r="A292" s="46" t="n"/>
      <c r="B292" s="46" t="n"/>
      <c r="C292" s="46" t="n"/>
      <c r="D292" s="46" t="n"/>
      <c r="E292" s="46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</row>
    <row r="293" ht="22" customHeight="1">
      <c r="A293" s="48" t="n"/>
      <c r="B293" s="48" t="n"/>
      <c r="C293" s="48" t="n"/>
      <c r="D293" s="48" t="n"/>
      <c r="E293" s="48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</row>
    <row r="294" ht="22" customHeight="1">
      <c r="A294" s="46" t="n"/>
      <c r="B294" s="46" t="n"/>
      <c r="C294" s="46" t="n"/>
      <c r="D294" s="46" t="n"/>
      <c r="E294" s="46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</row>
    <row r="295" ht="22" customHeight="1">
      <c r="A295" s="48" t="n"/>
      <c r="B295" s="48" t="n"/>
      <c r="C295" s="48" t="n"/>
      <c r="D295" s="48" t="n"/>
      <c r="E295" s="48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</row>
    <row r="296" ht="22" customHeight="1">
      <c r="A296" s="46" t="n"/>
      <c r="B296" s="46" t="n"/>
      <c r="C296" s="46" t="n"/>
      <c r="D296" s="46" t="n"/>
      <c r="E296" s="46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</row>
    <row r="297" ht="22" customHeight="1">
      <c r="A297" s="48" t="n"/>
      <c r="B297" s="48" t="n"/>
      <c r="C297" s="48" t="n"/>
      <c r="D297" s="48" t="n"/>
      <c r="E297" s="48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</row>
    <row r="298" ht="22" customHeight="1">
      <c r="A298" s="46" t="n"/>
      <c r="B298" s="46" t="n"/>
      <c r="C298" s="46" t="n"/>
      <c r="D298" s="46" t="n"/>
      <c r="E298" s="46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</row>
    <row r="299" ht="22" customHeight="1">
      <c r="A299" s="48" t="n"/>
      <c r="B299" s="48" t="n"/>
      <c r="C299" s="48" t="n"/>
      <c r="D299" s="48" t="n"/>
      <c r="E299" s="48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</row>
    <row r="300" ht="22" customHeight="1">
      <c r="A300" s="46" t="n"/>
      <c r="B300" s="46" t="n"/>
      <c r="C300" s="46" t="n"/>
      <c r="D300" s="46" t="n"/>
      <c r="E300" s="46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</row>
    <row r="301" ht="22" customHeight="1">
      <c r="A301" s="48" t="n"/>
      <c r="B301" s="48" t="n"/>
      <c r="C301" s="48" t="n"/>
      <c r="D301" s="48" t="n"/>
      <c r="E301" s="48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</row>
    <row r="302" ht="22" customHeight="1">
      <c r="A302" s="46" t="n"/>
      <c r="B302" s="46" t="n"/>
      <c r="C302" s="46" t="n"/>
      <c r="D302" s="46" t="n"/>
      <c r="E302" s="46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</row>
    <row r="303" ht="22" customHeight="1">
      <c r="A303" s="48" t="n"/>
      <c r="B303" s="48" t="n"/>
      <c r="C303" s="48" t="n"/>
      <c r="D303" s="48" t="n"/>
      <c r="E303" s="48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</row>
    <row r="304" ht="22" customHeight="1">
      <c r="A304" s="46" t="n"/>
      <c r="B304" s="46" t="n"/>
      <c r="C304" s="46" t="n"/>
      <c r="D304" s="46" t="n"/>
      <c r="E304" s="46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</row>
    <row r="305" ht="22" customHeight="1">
      <c r="A305" s="48" t="n"/>
      <c r="B305" s="48" t="n"/>
      <c r="C305" s="48" t="n"/>
      <c r="D305" s="48" t="n"/>
      <c r="E305" s="48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</row>
    <row r="306" ht="22" customHeight="1">
      <c r="A306" s="46" t="n"/>
      <c r="B306" s="46" t="n"/>
      <c r="C306" s="46" t="n"/>
      <c r="D306" s="46" t="n"/>
      <c r="E306" s="46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</row>
    <row r="307" ht="22" customHeight="1">
      <c r="A307" s="48" t="n"/>
      <c r="B307" s="48" t="n"/>
      <c r="C307" s="48" t="n"/>
      <c r="D307" s="48" t="n"/>
      <c r="E307" s="48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</row>
    <row r="308" ht="22" customHeight="1">
      <c r="A308" s="46" t="n"/>
      <c r="B308" s="46" t="n"/>
      <c r="C308" s="46" t="n"/>
      <c r="D308" s="46" t="n"/>
      <c r="E308" s="46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</row>
    <row r="309" ht="22" customHeight="1">
      <c r="A309" s="48" t="n"/>
      <c r="B309" s="48" t="n"/>
      <c r="C309" s="48" t="n"/>
      <c r="D309" s="48" t="n"/>
      <c r="E309" s="48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</row>
    <row r="310" ht="22" customHeight="1">
      <c r="A310" s="46" t="n"/>
      <c r="B310" s="46" t="n"/>
      <c r="C310" s="46" t="n"/>
      <c r="D310" s="46" t="n"/>
      <c r="E310" s="46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</row>
    <row r="311" ht="22" customHeight="1">
      <c r="A311" s="48" t="n"/>
      <c r="B311" s="48" t="n"/>
      <c r="C311" s="48" t="n"/>
      <c r="D311" s="48" t="n"/>
      <c r="E311" s="48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</row>
    <row r="312" ht="22" customHeight="1">
      <c r="A312" s="46" t="n"/>
      <c r="B312" s="46" t="n"/>
      <c r="C312" s="46" t="n"/>
      <c r="D312" s="46" t="n"/>
      <c r="E312" s="46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</row>
    <row r="313" ht="22" customHeight="1">
      <c r="A313" s="48" t="n"/>
      <c r="B313" s="48" t="n"/>
      <c r="C313" s="48" t="n"/>
      <c r="D313" s="48" t="n"/>
      <c r="E313" s="48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</row>
    <row r="314" ht="22" customHeight="1">
      <c r="A314" s="46" t="n"/>
      <c r="B314" s="46" t="n"/>
      <c r="C314" s="46" t="n"/>
      <c r="D314" s="46" t="n"/>
      <c r="E314" s="46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</row>
    <row r="315" ht="22" customHeight="1">
      <c r="A315" s="48" t="n"/>
      <c r="B315" s="48" t="n"/>
      <c r="C315" s="48" t="n"/>
      <c r="D315" s="48" t="n"/>
      <c r="E315" s="48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</row>
    <row r="316" ht="22" customHeight="1">
      <c r="A316" s="46" t="n"/>
      <c r="B316" s="46" t="n"/>
      <c r="C316" s="46" t="n"/>
      <c r="D316" s="46" t="n"/>
      <c r="E316" s="46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</row>
    <row r="317" ht="22" customHeight="1">
      <c r="A317" s="48" t="n"/>
      <c r="B317" s="48" t="n"/>
      <c r="C317" s="48" t="n"/>
      <c r="D317" s="48" t="n"/>
      <c r="E317" s="48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</row>
    <row r="318" ht="22" customHeight="1">
      <c r="A318" s="46" t="n"/>
      <c r="B318" s="46" t="n"/>
      <c r="C318" s="46" t="n"/>
      <c r="D318" s="46" t="n"/>
      <c r="E318" s="46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</row>
    <row r="319" ht="22" customHeight="1">
      <c r="A319" s="48" t="n"/>
      <c r="B319" s="48" t="n"/>
      <c r="C319" s="48" t="n"/>
      <c r="D319" s="48" t="n"/>
      <c r="E319" s="48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</row>
    <row r="320" ht="22" customHeight="1">
      <c r="A320" s="46" t="n"/>
      <c r="B320" s="46" t="n"/>
      <c r="C320" s="46" t="n"/>
      <c r="D320" s="46" t="n"/>
      <c r="E320" s="46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</row>
    <row r="321" ht="22" customHeight="1">
      <c r="A321" s="48" t="n"/>
      <c r="B321" s="48" t="n"/>
      <c r="C321" s="48" t="n"/>
      <c r="D321" s="48" t="n"/>
      <c r="E321" s="48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</row>
    <row r="322" ht="22" customHeight="1">
      <c r="A322" s="46" t="n"/>
      <c r="B322" s="46" t="n"/>
      <c r="C322" s="46" t="n"/>
      <c r="D322" s="46" t="n"/>
      <c r="E322" s="46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</row>
    <row r="323" ht="22" customHeight="1">
      <c r="A323" s="48" t="n"/>
      <c r="B323" s="48" t="n"/>
      <c r="C323" s="48" t="n"/>
      <c r="D323" s="48" t="n"/>
      <c r="E323" s="48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</row>
    <row r="324" ht="22" customHeight="1">
      <c r="A324" s="46" t="n"/>
      <c r="B324" s="46" t="n"/>
      <c r="C324" s="46" t="n"/>
      <c r="D324" s="46" t="n"/>
      <c r="E324" s="46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</row>
    <row r="325" ht="22" customHeight="1">
      <c r="A325" s="48" t="n"/>
      <c r="B325" s="48" t="n"/>
      <c r="C325" s="48" t="n"/>
      <c r="D325" s="48" t="n"/>
      <c r="E325" s="48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</row>
    <row r="326" ht="22" customHeight="1">
      <c r="A326" s="46" t="n"/>
      <c r="B326" s="46" t="n"/>
      <c r="C326" s="46" t="n"/>
      <c r="D326" s="46" t="n"/>
      <c r="E326" s="46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</row>
    <row r="327" ht="22" customHeight="1">
      <c r="A327" s="48" t="n"/>
      <c r="B327" s="48" t="n"/>
      <c r="C327" s="48" t="n"/>
      <c r="D327" s="48" t="n"/>
      <c r="E327" s="48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</row>
    <row r="328" ht="22" customHeight="1">
      <c r="A328" s="46" t="n"/>
      <c r="B328" s="46" t="n"/>
      <c r="C328" s="46" t="n"/>
      <c r="D328" s="46" t="n"/>
      <c r="E328" s="46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</row>
    <row r="329" ht="22" customHeight="1">
      <c r="A329" s="48" t="n"/>
      <c r="B329" s="48" t="n"/>
      <c r="C329" s="48" t="n"/>
      <c r="D329" s="48" t="n"/>
      <c r="E329" s="48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</row>
    <row r="330" ht="22" customHeight="1">
      <c r="A330" s="46" t="n"/>
      <c r="B330" s="46" t="n"/>
      <c r="C330" s="46" t="n"/>
      <c r="D330" s="46" t="n"/>
      <c r="E330" s="46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</row>
    <row r="331" ht="22" customHeight="1">
      <c r="A331" s="48" t="n"/>
      <c r="B331" s="48" t="n"/>
      <c r="C331" s="48" t="n"/>
      <c r="D331" s="48" t="n"/>
      <c r="E331" s="48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</row>
    <row r="332" ht="22" customHeight="1">
      <c r="A332" s="46" t="n"/>
      <c r="B332" s="46" t="n"/>
      <c r="C332" s="46" t="n"/>
      <c r="D332" s="46" t="n"/>
      <c r="E332" s="46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</row>
    <row r="333" ht="22" customHeight="1">
      <c r="A333" s="48" t="n"/>
      <c r="B333" s="48" t="n"/>
      <c r="C333" s="48" t="n"/>
      <c r="D333" s="48" t="n"/>
      <c r="E333" s="48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</row>
    <row r="334" ht="22" customHeight="1">
      <c r="A334" s="46" t="n"/>
      <c r="B334" s="46" t="n"/>
      <c r="C334" s="46" t="n"/>
      <c r="D334" s="46" t="n"/>
      <c r="E334" s="46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</row>
    <row r="335" ht="22" customHeight="1">
      <c r="A335" s="48" t="n"/>
      <c r="B335" s="48" t="n"/>
      <c r="C335" s="48" t="n"/>
      <c r="D335" s="48" t="n"/>
      <c r="E335" s="48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</row>
    <row r="336" ht="22" customHeight="1">
      <c r="A336" s="46" t="n"/>
      <c r="B336" s="46" t="n"/>
      <c r="C336" s="46" t="n"/>
      <c r="D336" s="46" t="n"/>
      <c r="E336" s="46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</row>
    <row r="337" ht="22" customHeight="1">
      <c r="A337" s="48" t="n"/>
      <c r="B337" s="48" t="n"/>
      <c r="C337" s="48" t="n"/>
      <c r="D337" s="48" t="n"/>
      <c r="E337" s="48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</row>
    <row r="338" ht="22" customHeight="1">
      <c r="A338" s="46" t="n"/>
      <c r="B338" s="46" t="n"/>
      <c r="C338" s="46" t="n"/>
      <c r="D338" s="46" t="n"/>
      <c r="E338" s="46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</row>
    <row r="339" ht="22" customHeight="1">
      <c r="A339" s="48" t="n"/>
      <c r="B339" s="48" t="n"/>
      <c r="C339" s="48" t="n"/>
      <c r="D339" s="48" t="n"/>
      <c r="E339" s="48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</row>
    <row r="340" ht="22" customHeight="1">
      <c r="A340" s="46" t="n"/>
      <c r="B340" s="46" t="n"/>
      <c r="C340" s="46" t="n"/>
      <c r="D340" s="46" t="n"/>
      <c r="E340" s="46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</row>
    <row r="341" ht="22" customHeight="1">
      <c r="A341" s="48" t="n"/>
      <c r="B341" s="48" t="n"/>
      <c r="C341" s="48" t="n"/>
      <c r="D341" s="48" t="n"/>
      <c r="E341" s="48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</row>
    <row r="342" ht="22" customHeight="1">
      <c r="A342" s="46" t="n"/>
      <c r="B342" s="46" t="n"/>
      <c r="C342" s="46" t="n"/>
      <c r="D342" s="46" t="n"/>
      <c r="E342" s="46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</row>
    <row r="343" ht="22" customHeight="1">
      <c r="A343" s="48" t="n"/>
      <c r="B343" s="48" t="n"/>
      <c r="C343" s="48" t="n"/>
      <c r="D343" s="48" t="n"/>
      <c r="E343" s="48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</row>
    <row r="344" ht="22" customHeight="1">
      <c r="A344" s="46" t="n"/>
      <c r="B344" s="46" t="n"/>
      <c r="C344" s="46" t="n"/>
      <c r="D344" s="46" t="n"/>
      <c r="E344" s="46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</row>
    <row r="345" ht="22" customHeight="1">
      <c r="A345" s="48" t="n"/>
      <c r="B345" s="48" t="n"/>
      <c r="C345" s="48" t="n"/>
      <c r="D345" s="48" t="n"/>
      <c r="E345" s="48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</row>
    <row r="346" ht="22" customHeight="1">
      <c r="A346" s="46" t="n"/>
      <c r="B346" s="46" t="n"/>
      <c r="C346" s="46" t="n"/>
      <c r="D346" s="46" t="n"/>
      <c r="E346" s="46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</row>
    <row r="347" ht="22" customHeight="1">
      <c r="A347" s="48" t="n"/>
      <c r="B347" s="48" t="n"/>
      <c r="C347" s="48" t="n"/>
      <c r="D347" s="48" t="n"/>
      <c r="E347" s="48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</row>
    <row r="348" ht="22" customHeight="1">
      <c r="A348" s="46" t="n"/>
      <c r="B348" s="46" t="n"/>
      <c r="C348" s="46" t="n"/>
      <c r="D348" s="46" t="n"/>
      <c r="E348" s="46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</row>
    <row r="349" ht="22" customHeight="1">
      <c r="A349" s="48" t="n"/>
      <c r="B349" s="48" t="n"/>
      <c r="C349" s="48" t="n"/>
      <c r="D349" s="48" t="n"/>
      <c r="E349" s="48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</row>
    <row r="350" ht="22" customHeight="1">
      <c r="A350" s="46" t="n"/>
      <c r="B350" s="46" t="n"/>
      <c r="C350" s="46" t="n"/>
      <c r="D350" s="46" t="n"/>
      <c r="E350" s="46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</row>
    <row r="351" ht="22" customHeight="1">
      <c r="A351" s="48" t="n"/>
      <c r="B351" s="48" t="n"/>
      <c r="C351" s="48" t="n"/>
      <c r="D351" s="48" t="n"/>
      <c r="E351" s="48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</row>
    <row r="352" ht="22" customHeight="1">
      <c r="A352" s="46" t="n"/>
      <c r="B352" s="46" t="n"/>
      <c r="C352" s="46" t="n"/>
      <c r="D352" s="46" t="n"/>
      <c r="E352" s="46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</row>
    <row r="353" ht="22" customHeight="1">
      <c r="A353" s="48" t="n"/>
      <c r="B353" s="48" t="n"/>
      <c r="C353" s="48" t="n"/>
      <c r="D353" s="48" t="n"/>
      <c r="E353" s="48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</row>
    <row r="354" ht="22" customHeight="1">
      <c r="A354" s="46" t="n"/>
      <c r="B354" s="46" t="n"/>
      <c r="C354" s="46" t="n"/>
      <c r="D354" s="46" t="n"/>
      <c r="E354" s="46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</row>
    <row r="355" ht="22" customHeight="1">
      <c r="A355" s="48" t="n"/>
      <c r="B355" s="48" t="n"/>
      <c r="C355" s="48" t="n"/>
      <c r="D355" s="48" t="n"/>
      <c r="E355" s="48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</row>
    <row r="356" ht="22" customHeight="1">
      <c r="A356" s="46" t="n"/>
      <c r="B356" s="46" t="n"/>
      <c r="C356" s="46" t="n"/>
      <c r="D356" s="46" t="n"/>
      <c r="E356" s="46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</row>
    <row r="357" ht="22" customHeight="1">
      <c r="A357" s="48" t="n"/>
      <c r="B357" s="48" t="n"/>
      <c r="C357" s="48" t="n"/>
      <c r="D357" s="48" t="n"/>
      <c r="E357" s="48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</row>
    <row r="358" ht="22" customHeight="1">
      <c r="A358" s="46" t="n"/>
      <c r="B358" s="46" t="n"/>
      <c r="C358" s="46" t="n"/>
      <c r="D358" s="46" t="n"/>
      <c r="E358" s="46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</row>
    <row r="359" ht="22" customHeight="1">
      <c r="A359" s="48" t="n"/>
      <c r="B359" s="48" t="n"/>
      <c r="C359" s="48" t="n"/>
      <c r="D359" s="48" t="n"/>
      <c r="E359" s="48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</row>
    <row r="360" ht="22" customHeight="1">
      <c r="A360" s="46" t="n"/>
      <c r="B360" s="46" t="n"/>
      <c r="C360" s="46" t="n"/>
      <c r="D360" s="46" t="n"/>
      <c r="E360" s="46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</row>
    <row r="361" ht="22" customHeight="1">
      <c r="A361" s="48" t="n"/>
      <c r="B361" s="48" t="n"/>
      <c r="C361" s="48" t="n"/>
      <c r="D361" s="48" t="n"/>
      <c r="E361" s="48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</row>
    <row r="362" ht="22" customHeight="1">
      <c r="A362" s="46" t="n"/>
      <c r="B362" s="46" t="n"/>
      <c r="C362" s="46" t="n"/>
      <c r="D362" s="46" t="n"/>
      <c r="E362" s="46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</row>
    <row r="363" ht="22" customHeight="1">
      <c r="A363" s="48" t="n"/>
      <c r="B363" s="48" t="n"/>
      <c r="C363" s="48" t="n"/>
      <c r="D363" s="48" t="n"/>
      <c r="E363" s="48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</row>
    <row r="364" ht="22" customHeight="1">
      <c r="A364" s="46" t="n"/>
      <c r="B364" s="46" t="n"/>
      <c r="C364" s="46" t="n"/>
      <c r="D364" s="46" t="n"/>
      <c r="E364" s="46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</row>
    <row r="365" ht="22" customHeight="1">
      <c r="A365" s="48" t="n"/>
      <c r="B365" s="48" t="n"/>
      <c r="C365" s="48" t="n"/>
      <c r="D365" s="48" t="n"/>
      <c r="E365" s="48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</row>
    <row r="366" ht="22" customHeight="1">
      <c r="A366" s="46" t="n"/>
      <c r="B366" s="46" t="n"/>
      <c r="C366" s="46" t="n"/>
      <c r="D366" s="46" t="n"/>
      <c r="E366" s="46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</row>
    <row r="367" ht="22" customHeight="1">
      <c r="A367" s="48" t="n"/>
      <c r="B367" s="48" t="n"/>
      <c r="C367" s="48" t="n"/>
      <c r="D367" s="48" t="n"/>
      <c r="E367" s="48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</row>
    <row r="368" ht="22" customHeight="1">
      <c r="A368" s="46" t="n"/>
      <c r="B368" s="46" t="n"/>
      <c r="C368" s="46" t="n"/>
      <c r="D368" s="46" t="n"/>
      <c r="E368" s="46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</row>
    <row r="369" ht="22" customHeight="1">
      <c r="A369" s="48" t="n"/>
      <c r="B369" s="48" t="n"/>
      <c r="C369" s="48" t="n"/>
      <c r="D369" s="48" t="n"/>
      <c r="E369" s="48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</row>
    <row r="370" ht="22" customHeight="1">
      <c r="A370" s="46" t="n"/>
      <c r="B370" s="46" t="n"/>
      <c r="C370" s="46" t="n"/>
      <c r="D370" s="46" t="n"/>
      <c r="E370" s="46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</row>
    <row r="371" ht="22" customHeight="1">
      <c r="A371" s="48" t="n"/>
      <c r="B371" s="48" t="n"/>
      <c r="C371" s="48" t="n"/>
      <c r="D371" s="48" t="n"/>
      <c r="E371" s="48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</row>
    <row r="372" ht="22" customHeight="1">
      <c r="A372" s="46" t="n"/>
      <c r="B372" s="46" t="n"/>
      <c r="C372" s="46" t="n"/>
      <c r="D372" s="46" t="n"/>
      <c r="E372" s="46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</row>
    <row r="373" ht="22" customHeight="1">
      <c r="A373" s="48" t="n"/>
      <c r="B373" s="48" t="n"/>
      <c r="C373" s="48" t="n"/>
      <c r="D373" s="48" t="n"/>
      <c r="E373" s="48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</row>
    <row r="374" ht="22" customHeight="1">
      <c r="A374" s="46" t="n"/>
      <c r="B374" s="46" t="n"/>
      <c r="C374" s="46" t="n"/>
      <c r="D374" s="46" t="n"/>
      <c r="E374" s="46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</row>
    <row r="375" ht="22" customHeight="1">
      <c r="A375" s="48" t="n"/>
      <c r="B375" s="48" t="n"/>
      <c r="C375" s="48" t="n"/>
      <c r="D375" s="48" t="n"/>
      <c r="E375" s="48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</row>
    <row r="376" ht="22" customHeight="1">
      <c r="A376" s="46" t="n"/>
      <c r="B376" s="46" t="n"/>
      <c r="C376" s="46" t="n"/>
      <c r="D376" s="46" t="n"/>
      <c r="E376" s="46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</row>
    <row r="377" ht="22" customHeight="1">
      <c r="A377" s="48" t="n"/>
      <c r="B377" s="48" t="n"/>
      <c r="C377" s="48" t="n"/>
      <c r="D377" s="48" t="n"/>
      <c r="E377" s="48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</row>
    <row r="378" ht="22" customHeight="1">
      <c r="A378" s="46" t="n"/>
      <c r="B378" s="46" t="n"/>
      <c r="C378" s="46" t="n"/>
      <c r="D378" s="46" t="n"/>
      <c r="E378" s="46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</row>
    <row r="379" ht="22" customHeight="1">
      <c r="A379" s="48" t="n"/>
      <c r="B379" s="48" t="n"/>
      <c r="C379" s="48" t="n"/>
      <c r="D379" s="48" t="n"/>
      <c r="E379" s="48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</row>
    <row r="380" ht="22" customHeight="1">
      <c r="A380" s="46" t="n"/>
      <c r="B380" s="46" t="n"/>
      <c r="C380" s="46" t="n"/>
      <c r="D380" s="46" t="n"/>
      <c r="E380" s="46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</row>
    <row r="381" ht="22" customHeight="1">
      <c r="A381" s="48" t="n"/>
      <c r="B381" s="48" t="n"/>
      <c r="C381" s="48" t="n"/>
      <c r="D381" s="48" t="n"/>
      <c r="E381" s="48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</row>
    <row r="382" ht="22" customHeight="1">
      <c r="A382" s="46" t="n"/>
      <c r="B382" s="46" t="n"/>
      <c r="C382" s="46" t="n"/>
      <c r="D382" s="46" t="n"/>
      <c r="E382" s="46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</row>
    <row r="383" ht="22" customHeight="1">
      <c r="A383" s="48" t="n"/>
      <c r="B383" s="48" t="n"/>
      <c r="C383" s="48" t="n"/>
      <c r="D383" s="48" t="n"/>
      <c r="E383" s="48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</row>
    <row r="384" ht="22" customHeight="1">
      <c r="A384" s="46" t="n"/>
      <c r="B384" s="46" t="n"/>
      <c r="C384" s="46" t="n"/>
      <c r="D384" s="46" t="n"/>
      <c r="E384" s="46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</row>
    <row r="385" ht="22" customHeight="1">
      <c r="A385" s="48" t="n"/>
      <c r="B385" s="48" t="n"/>
      <c r="C385" s="48" t="n"/>
      <c r="D385" s="48" t="n"/>
      <c r="E385" s="48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</row>
    <row r="386" ht="22" customHeight="1">
      <c r="A386" s="46" t="n"/>
      <c r="B386" s="46" t="n"/>
      <c r="C386" s="46" t="n"/>
      <c r="D386" s="46" t="n"/>
      <c r="E386" s="46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</row>
    <row r="387" ht="22" customHeight="1">
      <c r="A387" s="48" t="n"/>
      <c r="B387" s="48" t="n"/>
      <c r="C387" s="48" t="n"/>
      <c r="D387" s="48" t="n"/>
      <c r="E387" s="48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</row>
    <row r="388" ht="22" customHeight="1">
      <c r="A388" s="46" t="n"/>
      <c r="B388" s="46" t="n"/>
      <c r="C388" s="46" t="n"/>
      <c r="D388" s="46" t="n"/>
      <c r="E388" s="46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</row>
    <row r="389" ht="22" customHeight="1">
      <c r="A389" s="48" t="n"/>
      <c r="B389" s="48" t="n"/>
      <c r="C389" s="48" t="n"/>
      <c r="D389" s="48" t="n"/>
      <c r="E389" s="48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</row>
    <row r="390" ht="22" customHeight="1">
      <c r="A390" s="46" t="n"/>
      <c r="B390" s="46" t="n"/>
      <c r="C390" s="46" t="n"/>
      <c r="D390" s="46" t="n"/>
      <c r="E390" s="46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</row>
    <row r="391" ht="22" customHeight="1">
      <c r="A391" s="48" t="n"/>
      <c r="B391" s="48" t="n"/>
      <c r="C391" s="48" t="n"/>
      <c r="D391" s="48" t="n"/>
      <c r="E391" s="48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</row>
    <row r="392" ht="22" customHeight="1">
      <c r="A392" s="46" t="n"/>
      <c r="B392" s="46" t="n"/>
      <c r="C392" s="46" t="n"/>
      <c r="D392" s="46" t="n"/>
      <c r="E392" s="46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</row>
    <row r="393" ht="22" customHeight="1">
      <c r="A393" s="48" t="n"/>
      <c r="B393" s="48" t="n"/>
      <c r="C393" s="48" t="n"/>
      <c r="D393" s="48" t="n"/>
      <c r="E393" s="48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</row>
    <row r="394" ht="22" customHeight="1">
      <c r="A394" s="46" t="n"/>
      <c r="B394" s="46" t="n"/>
      <c r="C394" s="46" t="n"/>
      <c r="D394" s="46" t="n"/>
      <c r="E394" s="46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</row>
    <row r="395" ht="22" customHeight="1">
      <c r="A395" s="48" t="n"/>
      <c r="B395" s="48" t="n"/>
      <c r="C395" s="48" t="n"/>
      <c r="D395" s="48" t="n"/>
      <c r="E395" s="48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</row>
    <row r="396" ht="22" customHeight="1">
      <c r="A396" s="46" t="n"/>
      <c r="B396" s="46" t="n"/>
      <c r="C396" s="46" t="n"/>
      <c r="D396" s="46" t="n"/>
      <c r="E396" s="46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</row>
    <row r="397" ht="22" customHeight="1">
      <c r="A397" s="48" t="n"/>
      <c r="B397" s="48" t="n"/>
      <c r="C397" s="48" t="n"/>
      <c r="D397" s="48" t="n"/>
      <c r="E397" s="48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</row>
    <row r="398" ht="22" customHeight="1">
      <c r="A398" s="46" t="n"/>
      <c r="B398" s="46" t="n"/>
      <c r="C398" s="46" t="n"/>
      <c r="D398" s="46" t="n"/>
      <c r="E398" s="46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</row>
    <row r="399" ht="22" customHeight="1">
      <c r="A399" s="48" t="n"/>
      <c r="B399" s="48" t="n"/>
      <c r="C399" s="48" t="n"/>
      <c r="D399" s="48" t="n"/>
      <c r="E399" s="48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</row>
    <row r="400" ht="22" customHeight="1">
      <c r="A400" s="46" t="n"/>
      <c r="B400" s="46" t="n"/>
      <c r="C400" s="46" t="n"/>
      <c r="D400" s="46" t="n"/>
      <c r="E400" s="46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</row>
    <row r="401" ht="22" customHeight="1">
      <c r="A401" s="48" t="n"/>
      <c r="B401" s="48" t="n"/>
      <c r="C401" s="48" t="n"/>
      <c r="D401" s="48" t="n"/>
      <c r="E401" s="48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</row>
    <row r="402" ht="22" customHeight="1">
      <c r="A402" s="46" t="n"/>
      <c r="B402" s="46" t="n"/>
      <c r="C402" s="46" t="n"/>
      <c r="D402" s="46" t="n"/>
      <c r="E402" s="46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</row>
    <row r="403" ht="22" customHeight="1">
      <c r="A403" s="48" t="n"/>
      <c r="B403" s="48" t="n"/>
      <c r="C403" s="48" t="n"/>
      <c r="D403" s="48" t="n"/>
      <c r="E403" s="48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</row>
    <row r="404" ht="22" customHeight="1">
      <c r="A404" s="46" t="n"/>
      <c r="B404" s="46" t="n"/>
      <c r="C404" s="46" t="n"/>
      <c r="D404" s="46" t="n"/>
      <c r="E404" s="46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</row>
    <row r="405" ht="22" customHeight="1">
      <c r="A405" s="48" t="n"/>
      <c r="B405" s="48" t="n"/>
      <c r="C405" s="48" t="n"/>
      <c r="D405" s="48" t="n"/>
      <c r="E405" s="48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</row>
    <row r="406" ht="22" customHeight="1">
      <c r="A406" s="46" t="n"/>
      <c r="B406" s="46" t="n"/>
      <c r="C406" s="46" t="n"/>
      <c r="D406" s="46" t="n"/>
      <c r="E406" s="46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</row>
    <row r="407" ht="22" customHeight="1">
      <c r="A407" s="48" t="n"/>
      <c r="B407" s="48" t="n"/>
      <c r="C407" s="48" t="n"/>
      <c r="D407" s="48" t="n"/>
      <c r="E407" s="48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</row>
    <row r="408" ht="22" customHeight="1">
      <c r="A408" s="46" t="n"/>
      <c r="B408" s="46" t="n"/>
      <c r="C408" s="46" t="n"/>
      <c r="D408" s="46" t="n"/>
      <c r="E408" s="46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</row>
    <row r="409" ht="22" customHeight="1">
      <c r="A409" s="48" t="n"/>
      <c r="B409" s="48" t="n"/>
      <c r="C409" s="48" t="n"/>
      <c r="D409" s="48" t="n"/>
      <c r="E409" s="48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</row>
    <row r="410" ht="22" customHeight="1">
      <c r="A410" s="46" t="n"/>
      <c r="B410" s="46" t="n"/>
      <c r="C410" s="46" t="n"/>
      <c r="D410" s="46" t="n"/>
      <c r="E410" s="46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</row>
    <row r="411" ht="22" customHeight="1">
      <c r="A411" s="48" t="n"/>
      <c r="B411" s="48" t="n"/>
      <c r="C411" s="48" t="n"/>
      <c r="D411" s="48" t="n"/>
      <c r="E411" s="48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</row>
    <row r="412" ht="22" customHeight="1">
      <c r="A412" s="46" t="n"/>
      <c r="B412" s="46" t="n"/>
      <c r="C412" s="46" t="n"/>
      <c r="D412" s="46" t="n"/>
      <c r="E412" s="46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</row>
    <row r="413" ht="22" customHeight="1">
      <c r="A413" s="48" t="n"/>
      <c r="B413" s="48" t="n"/>
      <c r="C413" s="48" t="n"/>
      <c r="D413" s="48" t="n"/>
      <c r="E413" s="48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</row>
    <row r="414" ht="22" customHeight="1">
      <c r="A414" s="46" t="n"/>
      <c r="B414" s="46" t="n"/>
      <c r="C414" s="46" t="n"/>
      <c r="D414" s="46" t="n"/>
      <c r="E414" s="46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</row>
    <row r="415" ht="22" customHeight="1">
      <c r="A415" s="48" t="n"/>
      <c r="B415" s="48" t="n"/>
      <c r="C415" s="48" t="n"/>
      <c r="D415" s="48" t="n"/>
      <c r="E415" s="48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</row>
    <row r="416" ht="22" customHeight="1">
      <c r="A416" s="46" t="n"/>
      <c r="B416" s="46" t="n"/>
      <c r="C416" s="46" t="n"/>
      <c r="D416" s="46" t="n"/>
      <c r="E416" s="46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</row>
    <row r="417" ht="22" customHeight="1">
      <c r="A417" s="48" t="n"/>
      <c r="B417" s="48" t="n"/>
      <c r="C417" s="48" t="n"/>
      <c r="D417" s="48" t="n"/>
      <c r="E417" s="48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</row>
    <row r="418" ht="22" customHeight="1">
      <c r="A418" s="46" t="n"/>
      <c r="B418" s="46" t="n"/>
      <c r="C418" s="46" t="n"/>
      <c r="D418" s="46" t="n"/>
      <c r="E418" s="46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</row>
    <row r="419" ht="22" customHeight="1">
      <c r="A419" s="48" t="n"/>
      <c r="B419" s="48" t="n"/>
      <c r="C419" s="48" t="n"/>
      <c r="D419" s="48" t="n"/>
      <c r="E419" s="48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</row>
    <row r="420" ht="22" customHeight="1">
      <c r="A420" s="46" t="n"/>
      <c r="B420" s="46" t="n"/>
      <c r="C420" s="46" t="n"/>
      <c r="D420" s="46" t="n"/>
      <c r="E420" s="46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</row>
    <row r="421" ht="22" customHeight="1">
      <c r="A421" s="48" t="n"/>
      <c r="B421" s="48" t="n"/>
      <c r="C421" s="48" t="n"/>
      <c r="D421" s="48" t="n"/>
      <c r="E421" s="48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</row>
    <row r="422" ht="22" customHeight="1">
      <c r="A422" s="46" t="n"/>
      <c r="B422" s="46" t="n"/>
      <c r="C422" s="46" t="n"/>
      <c r="D422" s="46" t="n"/>
      <c r="E422" s="46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</row>
    <row r="423" ht="22" customHeight="1">
      <c r="A423" s="48" t="n"/>
      <c r="B423" s="48" t="n"/>
      <c r="C423" s="48" t="n"/>
      <c r="D423" s="48" t="n"/>
      <c r="E423" s="48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</row>
    <row r="424" ht="22" customHeight="1">
      <c r="A424" s="46" t="n"/>
      <c r="B424" s="46" t="n"/>
      <c r="C424" s="46" t="n"/>
      <c r="D424" s="46" t="n"/>
      <c r="E424" s="46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</row>
    <row r="425" ht="22" customHeight="1">
      <c r="A425" s="48" t="n"/>
      <c r="B425" s="48" t="n"/>
      <c r="C425" s="48" t="n"/>
      <c r="D425" s="48" t="n"/>
      <c r="E425" s="48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</row>
    <row r="426" ht="22" customHeight="1">
      <c r="A426" s="46" t="n"/>
      <c r="B426" s="46" t="n"/>
      <c r="C426" s="46" t="n"/>
      <c r="D426" s="46" t="n"/>
      <c r="E426" s="46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</row>
    <row r="427" ht="22" customHeight="1">
      <c r="A427" s="48" t="n"/>
      <c r="B427" s="48" t="n"/>
      <c r="C427" s="48" t="n"/>
      <c r="D427" s="48" t="n"/>
      <c r="E427" s="48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</row>
    <row r="428" ht="22" customHeight="1">
      <c r="A428" s="46" t="n"/>
      <c r="B428" s="46" t="n"/>
      <c r="C428" s="46" t="n"/>
      <c r="D428" s="46" t="n"/>
      <c r="E428" s="46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</row>
    <row r="429" ht="22" customHeight="1">
      <c r="A429" s="48" t="n"/>
      <c r="B429" s="48" t="n"/>
      <c r="C429" s="48" t="n"/>
      <c r="D429" s="48" t="n"/>
      <c r="E429" s="48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</row>
    <row r="430" ht="22" customHeight="1">
      <c r="A430" s="46" t="n"/>
      <c r="B430" s="46" t="n"/>
      <c r="C430" s="46" t="n"/>
      <c r="D430" s="46" t="n"/>
      <c r="E430" s="46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</row>
    <row r="431" ht="22" customHeight="1">
      <c r="A431" s="48" t="n"/>
      <c r="B431" s="48" t="n"/>
      <c r="C431" s="48" t="n"/>
      <c r="D431" s="48" t="n"/>
      <c r="E431" s="48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</row>
    <row r="432" ht="22" customHeight="1">
      <c r="A432" s="46" t="n"/>
      <c r="B432" s="46" t="n"/>
      <c r="C432" s="46" t="n"/>
      <c r="D432" s="46" t="n"/>
      <c r="E432" s="46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</row>
    <row r="433" ht="22" customHeight="1">
      <c r="A433" s="48" t="n"/>
      <c r="B433" s="48" t="n"/>
      <c r="C433" s="48" t="n"/>
      <c r="D433" s="48" t="n"/>
      <c r="E433" s="48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</row>
    <row r="434" ht="22" customHeight="1">
      <c r="A434" s="46" t="n"/>
      <c r="B434" s="46" t="n"/>
      <c r="C434" s="46" t="n"/>
      <c r="D434" s="46" t="n"/>
      <c r="E434" s="46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</row>
    <row r="435" ht="22" customHeight="1">
      <c r="A435" s="48" t="n"/>
      <c r="B435" s="48" t="n"/>
      <c r="C435" s="48" t="n"/>
      <c r="D435" s="48" t="n"/>
      <c r="E435" s="48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</row>
    <row r="436" ht="22" customHeight="1">
      <c r="A436" s="46" t="n"/>
      <c r="B436" s="46" t="n"/>
      <c r="C436" s="46" t="n"/>
      <c r="D436" s="46" t="n"/>
      <c r="E436" s="46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</row>
    <row r="437" ht="22" customHeight="1">
      <c r="A437" s="48" t="n"/>
      <c r="B437" s="48" t="n"/>
      <c r="C437" s="48" t="n"/>
      <c r="D437" s="48" t="n"/>
      <c r="E437" s="48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</row>
    <row r="438" ht="22" customHeight="1">
      <c r="A438" s="46" t="n"/>
      <c r="B438" s="46" t="n"/>
      <c r="C438" s="46" t="n"/>
      <c r="D438" s="46" t="n"/>
      <c r="E438" s="46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</row>
    <row r="439" ht="22" customHeight="1">
      <c r="A439" s="48" t="n"/>
      <c r="B439" s="48" t="n"/>
      <c r="C439" s="48" t="n"/>
      <c r="D439" s="48" t="n"/>
      <c r="E439" s="48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</row>
    <row r="440" ht="22" customHeight="1">
      <c r="A440" s="46" t="n"/>
      <c r="B440" s="46" t="n"/>
      <c r="C440" s="46" t="n"/>
      <c r="D440" s="46" t="n"/>
      <c r="E440" s="46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</row>
    <row r="441" ht="22" customHeight="1">
      <c r="A441" s="48" t="n"/>
      <c r="B441" s="48" t="n"/>
      <c r="C441" s="48" t="n"/>
      <c r="D441" s="48" t="n"/>
      <c r="E441" s="48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</row>
    <row r="442" ht="22" customHeight="1">
      <c r="A442" s="46" t="n"/>
      <c r="B442" s="46" t="n"/>
      <c r="C442" s="46" t="n"/>
      <c r="D442" s="46" t="n"/>
      <c r="E442" s="46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</row>
    <row r="443" ht="22" customHeight="1">
      <c r="A443" s="48" t="n"/>
      <c r="B443" s="48" t="n"/>
      <c r="C443" s="48" t="n"/>
      <c r="D443" s="48" t="n"/>
      <c r="E443" s="48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</row>
    <row r="444" ht="22" customHeight="1">
      <c r="A444" s="46" t="n"/>
      <c r="B444" s="46" t="n"/>
      <c r="C444" s="46" t="n"/>
      <c r="D444" s="46" t="n"/>
      <c r="E444" s="46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</row>
    <row r="445" ht="22" customHeight="1">
      <c r="A445" s="48" t="n"/>
      <c r="B445" s="48" t="n"/>
      <c r="C445" s="48" t="n"/>
      <c r="D445" s="48" t="n"/>
      <c r="E445" s="48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</row>
    <row r="446" ht="22" customHeight="1">
      <c r="A446" s="46" t="n"/>
      <c r="B446" s="46" t="n"/>
      <c r="C446" s="46" t="n"/>
      <c r="D446" s="46" t="n"/>
      <c r="E446" s="46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</row>
    <row r="447" ht="22" customHeight="1">
      <c r="A447" s="48" t="n"/>
      <c r="B447" s="48" t="n"/>
      <c r="C447" s="48" t="n"/>
      <c r="D447" s="48" t="n"/>
      <c r="E447" s="48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</row>
    <row r="448" ht="22" customHeight="1">
      <c r="A448" s="46" t="n"/>
      <c r="B448" s="46" t="n"/>
      <c r="C448" s="46" t="n"/>
      <c r="D448" s="46" t="n"/>
      <c r="E448" s="46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</row>
    <row r="449" ht="22" customHeight="1">
      <c r="A449" s="48" t="n"/>
      <c r="B449" s="48" t="n"/>
      <c r="C449" s="48" t="n"/>
      <c r="D449" s="48" t="n"/>
      <c r="E449" s="48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</row>
    <row r="450" ht="22" customHeight="1">
      <c r="A450" s="46" t="n"/>
      <c r="B450" s="46" t="n"/>
      <c r="C450" s="46" t="n"/>
      <c r="D450" s="46" t="n"/>
      <c r="E450" s="46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</row>
    <row r="451" ht="22" customHeight="1">
      <c r="A451" s="48" t="n"/>
      <c r="B451" s="48" t="n"/>
      <c r="C451" s="48" t="n"/>
      <c r="D451" s="48" t="n"/>
      <c r="E451" s="48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</row>
    <row r="452" ht="22" customHeight="1">
      <c r="A452" s="46" t="n"/>
      <c r="B452" s="46" t="n"/>
      <c r="C452" s="46" t="n"/>
      <c r="D452" s="46" t="n"/>
      <c r="E452" s="46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</row>
    <row r="453" ht="22" customHeight="1">
      <c r="A453" s="48" t="n"/>
      <c r="B453" s="48" t="n"/>
      <c r="C453" s="48" t="n"/>
      <c r="D453" s="48" t="n"/>
      <c r="E453" s="48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</row>
    <row r="454" ht="22" customHeight="1">
      <c r="A454" s="46" t="n"/>
      <c r="B454" s="46" t="n"/>
      <c r="C454" s="46" t="n"/>
      <c r="D454" s="46" t="n"/>
      <c r="E454" s="46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</row>
    <row r="455" ht="22" customHeight="1">
      <c r="A455" s="48" t="n"/>
      <c r="B455" s="48" t="n"/>
      <c r="C455" s="48" t="n"/>
      <c r="D455" s="48" t="n"/>
      <c r="E455" s="48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</row>
    <row r="456" ht="22" customHeight="1">
      <c r="A456" s="46" t="n"/>
      <c r="B456" s="46" t="n"/>
      <c r="C456" s="46" t="n"/>
      <c r="D456" s="46" t="n"/>
      <c r="E456" s="46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</row>
    <row r="457" ht="22" customHeight="1">
      <c r="A457" s="48" t="n"/>
      <c r="B457" s="48" t="n"/>
      <c r="C457" s="48" t="n"/>
      <c r="D457" s="48" t="n"/>
      <c r="E457" s="48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</row>
    <row r="458" ht="22" customHeight="1">
      <c r="A458" s="46" t="n"/>
      <c r="B458" s="46" t="n"/>
      <c r="C458" s="46" t="n"/>
      <c r="D458" s="46" t="n"/>
      <c r="E458" s="46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</row>
    <row r="459" ht="22" customHeight="1">
      <c r="A459" s="48" t="n"/>
      <c r="B459" s="48" t="n"/>
      <c r="C459" s="48" t="n"/>
      <c r="D459" s="48" t="n"/>
      <c r="E459" s="48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</row>
    <row r="460" ht="22" customHeight="1">
      <c r="A460" s="46" t="n"/>
      <c r="B460" s="46" t="n"/>
      <c r="C460" s="46" t="n"/>
      <c r="D460" s="46" t="n"/>
      <c r="E460" s="46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</row>
    <row r="461" ht="22" customHeight="1">
      <c r="A461" s="48" t="n"/>
      <c r="B461" s="48" t="n"/>
      <c r="C461" s="48" t="n"/>
      <c r="D461" s="48" t="n"/>
      <c r="E461" s="48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</row>
    <row r="462" ht="22" customHeight="1">
      <c r="A462" s="46" t="n"/>
      <c r="B462" s="46" t="n"/>
      <c r="C462" s="46" t="n"/>
      <c r="D462" s="46" t="n"/>
      <c r="E462" s="46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</row>
    <row r="463" ht="22" customHeight="1">
      <c r="A463" s="48" t="n"/>
      <c r="B463" s="48" t="n"/>
      <c r="C463" s="48" t="n"/>
      <c r="D463" s="48" t="n"/>
      <c r="E463" s="48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</row>
    <row r="464" ht="22" customHeight="1">
      <c r="A464" s="46" t="n"/>
      <c r="B464" s="46" t="n"/>
      <c r="C464" s="46" t="n"/>
      <c r="D464" s="46" t="n"/>
      <c r="E464" s="46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</row>
    <row r="465" ht="22" customHeight="1">
      <c r="A465" s="48" t="n"/>
      <c r="B465" s="48" t="n"/>
      <c r="C465" s="48" t="n"/>
      <c r="D465" s="48" t="n"/>
      <c r="E465" s="48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</row>
    <row r="466" ht="22" customHeight="1">
      <c r="A466" s="46" t="n"/>
      <c r="B466" s="46" t="n"/>
      <c r="C466" s="46" t="n"/>
      <c r="D466" s="46" t="n"/>
      <c r="E466" s="46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</row>
    <row r="467" ht="22" customHeight="1">
      <c r="A467" s="48" t="n"/>
      <c r="B467" s="48" t="n"/>
      <c r="C467" s="48" t="n"/>
      <c r="D467" s="48" t="n"/>
      <c r="E467" s="48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</row>
    <row r="468" ht="22" customHeight="1">
      <c r="A468" s="46" t="n"/>
      <c r="B468" s="46" t="n"/>
      <c r="C468" s="46" t="n"/>
      <c r="D468" s="46" t="n"/>
      <c r="E468" s="46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</row>
    <row r="469" ht="22" customHeight="1">
      <c r="A469" s="48" t="n"/>
      <c r="B469" s="48" t="n"/>
      <c r="C469" s="48" t="n"/>
      <c r="D469" s="48" t="n"/>
      <c r="E469" s="48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</row>
    <row r="470" ht="22" customHeight="1">
      <c r="A470" s="46" t="n"/>
      <c r="B470" s="46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</row>
    <row r="471" ht="22" customHeight="1">
      <c r="A471" s="48" t="n"/>
      <c r="B471" s="48" t="n"/>
      <c r="C471" s="48" t="n"/>
      <c r="D471" s="48" t="n"/>
      <c r="E471" s="48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</row>
    <row r="472" ht="22" customHeight="1">
      <c r="A472" s="46" t="n"/>
      <c r="B472" s="46" t="n"/>
      <c r="C472" s="46" t="n"/>
      <c r="D472" s="46" t="n"/>
      <c r="E472" s="46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</row>
    <row r="473" ht="22" customHeight="1">
      <c r="A473" s="48" t="n"/>
      <c r="B473" s="48" t="n"/>
      <c r="C473" s="48" t="n"/>
      <c r="D473" s="48" t="n"/>
      <c r="E473" s="48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</row>
    <row r="474" ht="22" customHeight="1">
      <c r="A474" s="46" t="n"/>
      <c r="B474" s="46" t="n"/>
      <c r="C474" s="46" t="n"/>
      <c r="D474" s="46" t="n"/>
      <c r="E474" s="46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</row>
    <row r="475" ht="22" customHeight="1">
      <c r="A475" s="48" t="n"/>
      <c r="B475" s="48" t="n"/>
      <c r="C475" s="48" t="n"/>
      <c r="D475" s="48" t="n"/>
      <c r="E475" s="48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</row>
    <row r="476" ht="22" customHeight="1">
      <c r="A476" s="46" t="n"/>
      <c r="B476" s="46" t="n"/>
      <c r="C476" s="46" t="n"/>
      <c r="D476" s="46" t="n"/>
      <c r="E476" s="46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</row>
    <row r="477" ht="22" customHeight="1">
      <c r="A477" s="48" t="n"/>
      <c r="B477" s="48" t="n"/>
      <c r="C477" s="48" t="n"/>
      <c r="D477" s="48" t="n"/>
      <c r="E477" s="48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</row>
    <row r="478" ht="22" customHeight="1">
      <c r="A478" s="46" t="n"/>
      <c r="B478" s="46" t="n"/>
      <c r="C478" s="46" t="n"/>
      <c r="D478" s="46" t="n"/>
      <c r="E478" s="46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</row>
    <row r="479" ht="22" customHeight="1">
      <c r="A479" s="48" t="n"/>
      <c r="B479" s="48" t="n"/>
      <c r="C479" s="48" t="n"/>
      <c r="D479" s="48" t="n"/>
      <c r="E479" s="48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</row>
    <row r="480" ht="22" customHeight="1">
      <c r="A480" s="46" t="n"/>
      <c r="B480" s="46" t="n"/>
      <c r="C480" s="46" t="n"/>
      <c r="D480" s="46" t="n"/>
      <c r="E480" s="46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</row>
    <row r="481" ht="22" customHeight="1">
      <c r="A481" s="48" t="n"/>
      <c r="B481" s="48" t="n"/>
      <c r="C481" s="48" t="n"/>
      <c r="D481" s="48" t="n"/>
      <c r="E481" s="48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</row>
    <row r="482" ht="22" customHeight="1">
      <c r="A482" s="46" t="n"/>
      <c r="B482" s="46" t="n"/>
      <c r="C482" s="46" t="n"/>
      <c r="D482" s="46" t="n"/>
      <c r="E482" s="46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</row>
    <row r="483" ht="22" customHeight="1">
      <c r="A483" s="48" t="n"/>
      <c r="B483" s="48" t="n"/>
      <c r="C483" s="48" t="n"/>
      <c r="D483" s="48" t="n"/>
      <c r="E483" s="48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</row>
    <row r="484" ht="22" customHeight="1">
      <c r="A484" s="46" t="n"/>
      <c r="B484" s="46" t="n"/>
      <c r="C484" s="46" t="n"/>
      <c r="D484" s="46" t="n"/>
      <c r="E484" s="46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</row>
    <row r="485" ht="22" customHeight="1">
      <c r="A485" s="48" t="n"/>
      <c r="B485" s="48" t="n"/>
      <c r="C485" s="48" t="n"/>
      <c r="D485" s="48" t="n"/>
      <c r="E485" s="48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</row>
    <row r="486" ht="22" customHeight="1">
      <c r="A486" s="46" t="n"/>
      <c r="B486" s="46" t="n"/>
      <c r="C486" s="46" t="n"/>
      <c r="D486" s="46" t="n"/>
      <c r="E486" s="46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</row>
    <row r="487" ht="22" customHeight="1">
      <c r="A487" s="48" t="n"/>
      <c r="B487" s="48" t="n"/>
      <c r="C487" s="48" t="n"/>
      <c r="D487" s="48" t="n"/>
      <c r="E487" s="48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</row>
    <row r="488" ht="22" customHeight="1">
      <c r="A488" s="46" t="n"/>
      <c r="B488" s="46" t="n"/>
      <c r="C488" s="46" t="n"/>
      <c r="D488" s="46" t="n"/>
      <c r="E488" s="46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</row>
    <row r="489" ht="22" customHeight="1">
      <c r="A489" s="48" t="n"/>
      <c r="B489" s="48" t="n"/>
      <c r="C489" s="48" t="n"/>
      <c r="D489" s="48" t="n"/>
      <c r="E489" s="48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</row>
    <row r="490" ht="22" customHeight="1">
      <c r="A490" s="46" t="n"/>
      <c r="B490" s="46" t="n"/>
      <c r="C490" s="46" t="n"/>
      <c r="D490" s="46" t="n"/>
      <c r="E490" s="46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</row>
    <row r="491" ht="22" customHeight="1">
      <c r="A491" s="48" t="n"/>
      <c r="B491" s="48" t="n"/>
      <c r="C491" s="48" t="n"/>
      <c r="D491" s="48" t="n"/>
      <c r="E491" s="48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</row>
    <row r="492" ht="22" customHeight="1">
      <c r="A492" s="46" t="n"/>
      <c r="B492" s="46" t="n"/>
      <c r="C492" s="46" t="n"/>
      <c r="D492" s="46" t="n"/>
      <c r="E492" s="46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</row>
    <row r="493" ht="22" customHeight="1">
      <c r="A493" s="48" t="n"/>
      <c r="B493" s="48" t="n"/>
      <c r="C493" s="48" t="n"/>
      <c r="D493" s="48" t="n"/>
      <c r="E493" s="48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</row>
    <row r="494" ht="22" customHeight="1">
      <c r="A494" s="46" t="n"/>
      <c r="B494" s="46" t="n"/>
      <c r="C494" s="46" t="n"/>
      <c r="D494" s="46" t="n"/>
      <c r="E494" s="46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</row>
    <row r="495" ht="22" customHeight="1">
      <c r="A495" s="48" t="n"/>
      <c r="B495" s="48" t="n"/>
      <c r="C495" s="48" t="n"/>
      <c r="D495" s="48" t="n"/>
      <c r="E495" s="48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</row>
    <row r="496" ht="22" customHeight="1">
      <c r="A496" s="46" t="n"/>
      <c r="B496" s="46" t="n"/>
      <c r="C496" s="46" t="n"/>
      <c r="D496" s="46" t="n"/>
      <c r="E496" s="46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</row>
    <row r="497" ht="22" customHeight="1">
      <c r="A497" s="48" t="n"/>
      <c r="B497" s="48" t="n"/>
      <c r="C497" s="48" t="n"/>
      <c r="D497" s="48" t="n"/>
      <c r="E497" s="48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</row>
    <row r="498" ht="22" customHeight="1">
      <c r="A498" s="46" t="n"/>
      <c r="B498" s="46" t="n"/>
      <c r="C498" s="46" t="n"/>
      <c r="D498" s="46" t="n"/>
      <c r="E498" s="46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</row>
    <row r="499" ht="22" customHeight="1">
      <c r="A499" s="48" t="n"/>
      <c r="B499" s="48" t="n"/>
      <c r="C499" s="48" t="n"/>
      <c r="D499" s="48" t="n"/>
      <c r="E499" s="48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</row>
    <row r="500" ht="22" customHeight="1">
      <c r="A500" s="46" t="n"/>
      <c r="B500" s="46" t="n"/>
      <c r="C500" s="46" t="n"/>
      <c r="D500" s="46" t="n"/>
      <c r="E500" s="46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</row>
  </sheetData>
  <autoFilter ref="A1:S500"/>
  <dataValidations count="9">
    <dataValidation sqref="G2:G500" showDropDown="0" showInputMessage="0" showErrorMessage="0" allowBlank="1" errorTitle="Invalid Entry" error="Please select a value from the dropdown" promptTitle="Choose" prompt="Select from dropdown" type="list">
      <formula1>"LinkedIn,Twitter,GitHub,Discord,Slack,Meetup,Conference,Other"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"Cold Connection,Warm Connection,Mutual Contact,Mentor,Referral Source"</formula1>
    </dataValidation>
    <dataValidation sqref="K2:K500" showDropDown="0" showInputMessage="0" showErrorMessage="0" allowBlank="1" errorTitle="Invalid Entry" error="Please select a value from the dropdown" promptTitle="Choose" prompt="Select from dropdown" type="list">
      <formula1>"None,Due,Overdue,Completed"</formula1>
    </dataValidation>
    <dataValidation sqref="L2:L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M2:M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N2:N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O2:O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P2:P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R2:R500" showDropDown="0" showInputMessage="0" showErrorMessage="0" allowBlank="1" errorTitle="Invalid Entry" error="Please select a value from the dropdown" promptTitle="Choose" prompt="Select from dropdown" type="list">
      <formula1>"1,2,3,4,5"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59E0B"/>
    <outlinePr summaryBelow="1" summaryRight="1"/>
    <pageSetUpPr/>
  </sheetPr>
  <dimension ref="A1:R50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0" customWidth="1" min="5" max="5"/>
    <col width="10" customWidth="1" min="6" max="6"/>
    <col width="25" customWidth="1" min="7" max="7"/>
    <col width="10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0" customWidth="1" min="16" max="16"/>
    <col width="24" customWidth="1" min="17" max="17"/>
    <col width="30" customWidth="1" min="18" max="18"/>
  </cols>
  <sheetData>
    <row r="1" ht="28" customHeight="1">
      <c r="A1" s="45" t="inlineStr">
        <is>
          <t>Skill Category</t>
        </is>
      </c>
      <c r="B1" s="45" t="inlineStr">
        <is>
          <t>Skill Name</t>
        </is>
      </c>
      <c r="C1" s="45" t="inlineStr">
        <is>
          <t>Current Level</t>
        </is>
      </c>
      <c r="D1" s="45" t="inlineStr">
        <is>
          <t>Target Level</t>
        </is>
      </c>
      <c r="E1" s="45" t="inlineStr">
        <is>
          <t>Gap</t>
        </is>
      </c>
      <c r="F1" s="45" t="inlineStr">
        <is>
          <t>Gap Level</t>
        </is>
      </c>
      <c r="G1" s="45" t="inlineStr">
        <is>
          <t>Learning Resource</t>
        </is>
      </c>
      <c r="H1" s="45" t="inlineStr">
        <is>
          <t>Priority</t>
        </is>
      </c>
      <c r="I1" s="45" t="inlineStr">
        <is>
          <t>Status</t>
        </is>
      </c>
      <c r="J1" s="45" t="inlineStr">
        <is>
          <t>Difficulty</t>
        </is>
      </c>
      <c r="K1" s="45" t="inlineStr">
        <is>
          <t>Start Date</t>
        </is>
      </c>
      <c r="L1" s="45" t="inlineStr">
        <is>
          <t>Target Date</t>
        </is>
      </c>
      <c r="M1" s="45" t="inlineStr">
        <is>
          <t>Estimated Hours</t>
        </is>
      </c>
      <c r="N1" s="45" t="inlineStr">
        <is>
          <t>Hours Invested</t>
        </is>
      </c>
      <c r="O1" s="45" t="inlineStr">
        <is>
          <t>Estimated Completion</t>
        </is>
      </c>
      <c r="P1" s="45" t="inlineStr">
        <is>
          <t>Progress %</t>
        </is>
      </c>
      <c r="Q1" s="45" t="inlineStr">
        <is>
          <t>Progress Bar</t>
        </is>
      </c>
      <c r="R1" s="45" t="inlineStr">
        <is>
          <t>Notes</t>
        </is>
      </c>
    </row>
    <row r="2" ht="22" customHeight="1">
      <c r="A2" s="46" t="inlineStr">
        <is>
          <t>Frontend</t>
        </is>
      </c>
      <c r="B2" s="46" t="inlineStr">
        <is>
          <t>React</t>
        </is>
      </c>
      <c r="C2" s="46" t="inlineStr">
        <is>
          <t>Intermediate</t>
        </is>
      </c>
      <c r="D2" s="46" t="inlineStr">
        <is>
          <t>Advanced</t>
        </is>
      </c>
      <c r="E2" s="46" t="inlineStr">
        <is>
          <t>1 level</t>
        </is>
      </c>
      <c r="F2" s="46">
        <f>IF(C2="","",IF(D2="","",IF(C2="Beginner",1,IF(C2="Intermediate",2,IF(C2="Advanced",3,4)))-IF(D2="Beginner",1,IF(D2="Intermediate",2,IF(D2="Advanced",3,4)))))</f>
        <v/>
      </c>
      <c r="G2" s="46" t="inlineStr">
        <is>
          <t>React Official Docs</t>
        </is>
      </c>
      <c r="H2" s="46" t="inlineStr">
        <is>
          <t>High</t>
        </is>
      </c>
      <c r="I2" s="46" t="inlineStr">
        <is>
          <t>Not Started</t>
        </is>
      </c>
      <c r="J2" s="46" t="inlineStr"/>
      <c r="K2" s="46" t="inlineStr">
        <is>
          <t>0%</t>
        </is>
      </c>
      <c r="L2" s="46" t="inlineStr">
        <is>
          <t>0</t>
        </is>
      </c>
      <c r="M2" s="46" t="inlineStr"/>
      <c r="N2" s="46" t="n"/>
      <c r="O2" s="46" t="n"/>
      <c r="P2" s="64">
        <f>IF(N2="","",IF(M2=0,0,MIN(N2/M2,1)))</f>
        <v/>
      </c>
      <c r="Q2" s="46">
        <f>IF(P2="","",REPT("█",ROUND(P2*20,0))&amp;REPT("░",20-ROUND(P2*20,0)))</f>
        <v/>
      </c>
      <c r="R2" s="46" t="n"/>
    </row>
    <row r="3" ht="22" customHeight="1">
      <c r="A3" s="48" t="n"/>
      <c r="B3" s="48" t="n"/>
      <c r="C3" s="48" t="n"/>
      <c r="D3" s="48" t="n"/>
      <c r="E3" s="48" t="n"/>
      <c r="F3" s="48">
        <f>IF(C3="","",IF(D3="","",IF(C3="Beginner",1,IF(C3="Intermediate",2,IF(C3="Advanced",3,4)))-IF(D3="Beginner",1,IF(D3="Intermediate",2,IF(D3="Advanced",3,4)))))</f>
        <v/>
      </c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65">
        <f>IF(N3="","",IF(M3=0,0,MIN(N3/M3,1)))</f>
        <v/>
      </c>
      <c r="Q3" s="48">
        <f>IF(P3="","",REPT("█",ROUND(P3*20,0))&amp;REPT("░",20-ROUND(P3*20,0)))</f>
        <v/>
      </c>
      <c r="R3" s="48" t="n"/>
    </row>
    <row r="4" ht="22" customHeight="1">
      <c r="A4" s="46" t="n"/>
      <c r="B4" s="46" t="n"/>
      <c r="C4" s="46" t="n"/>
      <c r="D4" s="46" t="n"/>
      <c r="E4" s="46" t="n"/>
      <c r="F4" s="46">
        <f>IF(C4="","",IF(D4="","",IF(C4="Beginner",1,IF(C4="Intermediate",2,IF(C4="Advanced",3,4)))-IF(D4="Beginner",1,IF(D4="Intermediate",2,IF(D4="Advanced",3,4)))))</f>
        <v/>
      </c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64">
        <f>IF(N4="","",IF(M4=0,0,MIN(N4/M4,1)))</f>
        <v/>
      </c>
      <c r="Q4" s="46">
        <f>IF(P4="","",REPT("█",ROUND(P4*20,0))&amp;REPT("░",20-ROUND(P4*20,0)))</f>
        <v/>
      </c>
      <c r="R4" s="46" t="n"/>
    </row>
    <row r="5" ht="22" customHeight="1">
      <c r="A5" s="48" t="n"/>
      <c r="B5" s="48" t="n"/>
      <c r="C5" s="48" t="n"/>
      <c r="D5" s="48" t="n"/>
      <c r="E5" s="48" t="n"/>
      <c r="F5" s="48">
        <f>IF(C5="","",IF(D5="","",IF(C5="Beginner",1,IF(C5="Intermediate",2,IF(C5="Advanced",3,4)))-IF(D5="Beginner",1,IF(D5="Intermediate",2,IF(D5="Advanced",3,4)))))</f>
        <v/>
      </c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65">
        <f>IF(N5="","",IF(M5=0,0,MIN(N5/M5,1)))</f>
        <v/>
      </c>
      <c r="Q5" s="48">
        <f>IF(P5="","",REPT("█",ROUND(P5*20,0))&amp;REPT("░",20-ROUND(P5*20,0)))</f>
        <v/>
      </c>
      <c r="R5" s="48" t="n"/>
    </row>
    <row r="6" ht="22" customHeight="1">
      <c r="A6" s="46" t="n"/>
      <c r="B6" s="46" t="n"/>
      <c r="C6" s="46" t="n"/>
      <c r="D6" s="46" t="n"/>
      <c r="E6" s="46" t="n"/>
      <c r="F6" s="46">
        <f>IF(C6="","",IF(D6="","",IF(C6="Beginner",1,IF(C6="Intermediate",2,IF(C6="Advanced",3,4)))-IF(D6="Beginner",1,IF(D6="Intermediate",2,IF(D6="Advanced",3,4)))))</f>
        <v/>
      </c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64">
        <f>IF(N6="","",IF(M6=0,0,MIN(N6/M6,1)))</f>
        <v/>
      </c>
      <c r="Q6" s="46">
        <f>IF(P6="","",REPT("█",ROUND(P6*20,0))&amp;REPT("░",20-ROUND(P6*20,0)))</f>
        <v/>
      </c>
      <c r="R6" s="46" t="n"/>
    </row>
    <row r="7" ht="22" customHeight="1">
      <c r="A7" s="48" t="n"/>
      <c r="B7" s="48" t="n"/>
      <c r="C7" s="48" t="n"/>
      <c r="D7" s="48" t="n"/>
      <c r="E7" s="48" t="n"/>
      <c r="F7" s="48">
        <f>IF(C7="","",IF(D7="","",IF(C7="Beginner",1,IF(C7="Intermediate",2,IF(C7="Advanced",3,4)))-IF(D7="Beginner",1,IF(D7="Intermediate",2,IF(D7="Advanced",3,4)))))</f>
        <v/>
      </c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65">
        <f>IF(N7="","",IF(M7=0,0,MIN(N7/M7,1)))</f>
        <v/>
      </c>
      <c r="Q7" s="48">
        <f>IF(P7="","",REPT("█",ROUND(P7*20,0))&amp;REPT("░",20-ROUND(P7*20,0)))</f>
        <v/>
      </c>
      <c r="R7" s="48" t="n"/>
    </row>
    <row r="8" ht="22" customHeight="1">
      <c r="A8" s="46" t="n"/>
      <c r="B8" s="46" t="n"/>
      <c r="C8" s="46" t="n"/>
      <c r="D8" s="46" t="n"/>
      <c r="E8" s="46" t="n"/>
      <c r="F8" s="46">
        <f>IF(C8="","",IF(D8="","",IF(C8="Beginner",1,IF(C8="Intermediate",2,IF(C8="Advanced",3,4)))-IF(D8="Beginner",1,IF(D8="Intermediate",2,IF(D8="Advanced",3,4)))))</f>
        <v/>
      </c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64">
        <f>IF(N8="","",IF(M8=0,0,MIN(N8/M8,1)))</f>
        <v/>
      </c>
      <c r="Q8" s="46">
        <f>IF(P8="","",REPT("█",ROUND(P8*20,0))&amp;REPT("░",20-ROUND(P8*20,0)))</f>
        <v/>
      </c>
      <c r="R8" s="46" t="n"/>
    </row>
    <row r="9" ht="22" customHeight="1">
      <c r="A9" s="48" t="n"/>
      <c r="B9" s="48" t="n"/>
      <c r="C9" s="48" t="n"/>
      <c r="D9" s="48" t="n"/>
      <c r="E9" s="48" t="n"/>
      <c r="F9" s="48">
        <f>IF(C9="","",IF(D9="","",IF(C9="Beginner",1,IF(C9="Intermediate",2,IF(C9="Advanced",3,4)))-IF(D9="Beginner",1,IF(D9="Intermediate",2,IF(D9="Advanced",3,4)))))</f>
        <v/>
      </c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65">
        <f>IF(N9="","",IF(M9=0,0,MIN(N9/M9,1)))</f>
        <v/>
      </c>
      <c r="Q9" s="48">
        <f>IF(P9="","",REPT("█",ROUND(P9*20,0))&amp;REPT("░",20-ROUND(P9*20,0)))</f>
        <v/>
      </c>
      <c r="R9" s="48" t="n"/>
    </row>
    <row r="10" ht="22" customHeight="1">
      <c r="A10" s="46" t="n"/>
      <c r="B10" s="46" t="n"/>
      <c r="C10" s="46" t="n"/>
      <c r="D10" s="46" t="n"/>
      <c r="E10" s="46" t="n"/>
      <c r="F10" s="46">
        <f>IF(C10="","",IF(D10="","",IF(C10="Beginner",1,IF(C10="Intermediate",2,IF(C10="Advanced",3,4)))-IF(D10="Beginner",1,IF(D10="Intermediate",2,IF(D10="Advanced",3,4)))))</f>
        <v/>
      </c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64">
        <f>IF(N10="","",IF(M10=0,0,MIN(N10/M10,1)))</f>
        <v/>
      </c>
      <c r="Q10" s="46">
        <f>IF(P10="","",REPT("█",ROUND(P10*20,0))&amp;REPT("░",20-ROUND(P10*20,0)))</f>
        <v/>
      </c>
      <c r="R10" s="46" t="n"/>
    </row>
    <row r="11" ht="22" customHeight="1">
      <c r="A11" s="48" t="n"/>
      <c r="B11" s="48" t="n"/>
      <c r="C11" s="48" t="n"/>
      <c r="D11" s="48" t="n"/>
      <c r="E11" s="48" t="n"/>
      <c r="F11" s="48">
        <f>IF(C11="","",IF(D11="","",IF(C11="Beginner",1,IF(C11="Intermediate",2,IF(C11="Advanced",3,4)))-IF(D11="Beginner",1,IF(D11="Intermediate",2,IF(D11="Advanced",3,4)))))</f>
        <v/>
      </c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65">
        <f>IF(N11="","",IF(M11=0,0,MIN(N11/M11,1)))</f>
        <v/>
      </c>
      <c r="Q11" s="48">
        <f>IF(P11="","",REPT("█",ROUND(P11*20,0))&amp;REPT("░",20-ROUND(P11*20,0)))</f>
        <v/>
      </c>
      <c r="R11" s="48" t="n"/>
    </row>
    <row r="12" ht="22" customHeight="1">
      <c r="A12" s="46" t="n"/>
      <c r="B12" s="46" t="n"/>
      <c r="C12" s="46" t="n"/>
      <c r="D12" s="46" t="n"/>
      <c r="E12" s="46" t="n"/>
      <c r="F12" s="46">
        <f>IF(C12="","",IF(D12="","",IF(C12="Beginner",1,IF(C12="Intermediate",2,IF(C12="Advanced",3,4)))-IF(D12="Beginner",1,IF(D12="Intermediate",2,IF(D12="Advanced",3,4)))))</f>
        <v/>
      </c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64">
        <f>IF(N12="","",IF(M12=0,0,MIN(N12/M12,1)))</f>
        <v/>
      </c>
      <c r="Q12" s="46">
        <f>IF(P12="","",REPT("█",ROUND(P12*20,0))&amp;REPT("░",20-ROUND(P12*20,0)))</f>
        <v/>
      </c>
      <c r="R12" s="46" t="n"/>
    </row>
    <row r="13" ht="22" customHeight="1">
      <c r="A13" s="48" t="n"/>
      <c r="B13" s="48" t="n"/>
      <c r="C13" s="48" t="n"/>
      <c r="D13" s="48" t="n"/>
      <c r="E13" s="48" t="n"/>
      <c r="F13" s="48">
        <f>IF(C13="","",IF(D13="","",IF(C13="Beginner",1,IF(C13="Intermediate",2,IF(C13="Advanced",3,4)))-IF(D13="Beginner",1,IF(D13="Intermediate",2,IF(D13="Advanced",3,4)))))</f>
        <v/>
      </c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65">
        <f>IF(N13="","",IF(M13=0,0,MIN(N13/M13,1)))</f>
        <v/>
      </c>
      <c r="Q13" s="48">
        <f>IF(P13="","",REPT("█",ROUND(P13*20,0))&amp;REPT("░",20-ROUND(P13*20,0)))</f>
        <v/>
      </c>
      <c r="R13" s="48" t="n"/>
    </row>
    <row r="14" ht="22" customHeight="1">
      <c r="A14" s="46" t="n"/>
      <c r="B14" s="46" t="n"/>
      <c r="C14" s="46" t="n"/>
      <c r="D14" s="46" t="n"/>
      <c r="E14" s="46" t="n"/>
      <c r="F14" s="46">
        <f>IF(C14="","",IF(D14="","",IF(C14="Beginner",1,IF(C14="Intermediate",2,IF(C14="Advanced",3,4)))-IF(D14="Beginner",1,IF(D14="Intermediate",2,IF(D14="Advanced",3,4)))))</f>
        <v/>
      </c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64">
        <f>IF(N14="","",IF(M14=0,0,MIN(N14/M14,1)))</f>
        <v/>
      </c>
      <c r="Q14" s="46">
        <f>IF(P14="","",REPT("█",ROUND(P14*20,0))&amp;REPT("░",20-ROUND(P14*20,0)))</f>
        <v/>
      </c>
      <c r="R14" s="46" t="n"/>
    </row>
    <row r="15" ht="22" customHeight="1">
      <c r="A15" s="48" t="n"/>
      <c r="B15" s="48" t="n"/>
      <c r="C15" s="48" t="n"/>
      <c r="D15" s="48" t="n"/>
      <c r="E15" s="48" t="n"/>
      <c r="F15" s="48">
        <f>IF(C15="","",IF(D15="","",IF(C15="Beginner",1,IF(C15="Intermediate",2,IF(C15="Advanced",3,4)))-IF(D15="Beginner",1,IF(D15="Intermediate",2,IF(D15="Advanced",3,4)))))</f>
        <v/>
      </c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65">
        <f>IF(N15="","",IF(M15=0,0,MIN(N15/M15,1)))</f>
        <v/>
      </c>
      <c r="Q15" s="48">
        <f>IF(P15="","",REPT("█",ROUND(P15*20,0))&amp;REPT("░",20-ROUND(P15*20,0)))</f>
        <v/>
      </c>
      <c r="R15" s="48" t="n"/>
    </row>
    <row r="16" ht="22" customHeight="1">
      <c r="A16" s="46" t="n"/>
      <c r="B16" s="46" t="n"/>
      <c r="C16" s="46" t="n"/>
      <c r="D16" s="46" t="n"/>
      <c r="E16" s="46" t="n"/>
      <c r="F16" s="46">
        <f>IF(C16="","",IF(D16="","",IF(C16="Beginner",1,IF(C16="Intermediate",2,IF(C16="Advanced",3,4)))-IF(D16="Beginner",1,IF(D16="Intermediate",2,IF(D16="Advanced",3,4)))))</f>
        <v/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64">
        <f>IF(N16="","",IF(M16=0,0,MIN(N16/M16,1)))</f>
        <v/>
      </c>
      <c r="Q16" s="46">
        <f>IF(P16="","",REPT("█",ROUND(P16*20,0))&amp;REPT("░",20-ROUND(P16*20,0)))</f>
        <v/>
      </c>
      <c r="R16" s="46" t="n"/>
    </row>
    <row r="17" ht="22" customHeight="1">
      <c r="A17" s="48" t="n"/>
      <c r="B17" s="48" t="n"/>
      <c r="C17" s="48" t="n"/>
      <c r="D17" s="48" t="n"/>
      <c r="E17" s="48" t="n"/>
      <c r="F17" s="48">
        <f>IF(C17="","",IF(D17="","",IF(C17="Beginner",1,IF(C17="Intermediate",2,IF(C17="Advanced",3,4)))-IF(D17="Beginner",1,IF(D17="Intermediate",2,IF(D17="Advanced",3,4)))))</f>
        <v/>
      </c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65">
        <f>IF(N17="","",IF(M17=0,0,MIN(N17/M17,1)))</f>
        <v/>
      </c>
      <c r="Q17" s="48">
        <f>IF(P17="","",REPT("█",ROUND(P17*20,0))&amp;REPT("░",20-ROUND(P17*20,0)))</f>
        <v/>
      </c>
      <c r="R17" s="48" t="n"/>
    </row>
    <row r="18" ht="22" customHeight="1">
      <c r="A18" s="46" t="n"/>
      <c r="B18" s="46" t="n"/>
      <c r="C18" s="46" t="n"/>
      <c r="D18" s="46" t="n"/>
      <c r="E18" s="46" t="n"/>
      <c r="F18" s="46">
        <f>IF(C18="","",IF(D18="","",IF(C18="Beginner",1,IF(C18="Intermediate",2,IF(C18="Advanced",3,4)))-IF(D18="Beginner",1,IF(D18="Intermediate",2,IF(D18="Advanced",3,4)))))</f>
        <v/>
      </c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64">
        <f>IF(N18="","",IF(M18=0,0,MIN(N18/M18,1)))</f>
        <v/>
      </c>
      <c r="Q18" s="46">
        <f>IF(P18="","",REPT("█",ROUND(P18*20,0))&amp;REPT("░",20-ROUND(P18*20,0)))</f>
        <v/>
      </c>
      <c r="R18" s="46" t="n"/>
    </row>
    <row r="19" ht="22" customHeight="1">
      <c r="A19" s="48" t="n"/>
      <c r="B19" s="48" t="n"/>
      <c r="C19" s="48" t="n"/>
      <c r="D19" s="48" t="n"/>
      <c r="E19" s="48" t="n"/>
      <c r="F19" s="48">
        <f>IF(C19="","",IF(D19="","",IF(C19="Beginner",1,IF(C19="Intermediate",2,IF(C19="Advanced",3,4)))-IF(D19="Beginner",1,IF(D19="Intermediate",2,IF(D19="Advanced",3,4)))))</f>
        <v/>
      </c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65">
        <f>IF(N19="","",IF(M19=0,0,MIN(N19/M19,1)))</f>
        <v/>
      </c>
      <c r="Q19" s="48">
        <f>IF(P19="","",REPT("█",ROUND(P19*20,0))&amp;REPT("░",20-ROUND(P19*20,0)))</f>
        <v/>
      </c>
      <c r="R19" s="48" t="n"/>
    </row>
    <row r="20" ht="22" customHeight="1">
      <c r="A20" s="46" t="n"/>
      <c r="B20" s="46" t="n"/>
      <c r="C20" s="46" t="n"/>
      <c r="D20" s="46" t="n"/>
      <c r="E20" s="46" t="n"/>
      <c r="F20" s="46">
        <f>IF(C20="","",IF(D20="","",IF(C20="Beginner",1,IF(C20="Intermediate",2,IF(C20="Advanced",3,4)))-IF(D20="Beginner",1,IF(D20="Intermediate",2,IF(D20="Advanced",3,4)))))</f>
        <v/>
      </c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64">
        <f>IF(N20="","",IF(M20=0,0,MIN(N20/M20,1)))</f>
        <v/>
      </c>
      <c r="Q20" s="46">
        <f>IF(P20="","",REPT("█",ROUND(P20*20,0))&amp;REPT("░",20-ROUND(P20*20,0)))</f>
        <v/>
      </c>
      <c r="R20" s="46" t="n"/>
    </row>
    <row r="21" ht="22" customHeight="1">
      <c r="A21" s="48" t="n"/>
      <c r="B21" s="48" t="n"/>
      <c r="C21" s="48" t="n"/>
      <c r="D21" s="48" t="n"/>
      <c r="E21" s="48" t="n"/>
      <c r="F21" s="48">
        <f>IF(C21="","",IF(D21="","",IF(C21="Beginner",1,IF(C21="Intermediate",2,IF(C21="Advanced",3,4)))-IF(D21="Beginner",1,IF(D21="Intermediate",2,IF(D21="Advanced",3,4)))))</f>
        <v/>
      </c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65">
        <f>IF(N21="","",IF(M21=0,0,MIN(N21/M21,1)))</f>
        <v/>
      </c>
      <c r="Q21" s="48">
        <f>IF(P21="","",REPT("█",ROUND(P21*20,0))&amp;REPT("░",20-ROUND(P21*20,0)))</f>
        <v/>
      </c>
      <c r="R21" s="48" t="n"/>
    </row>
    <row r="22" ht="22" customHeight="1">
      <c r="A22" s="46" t="n"/>
      <c r="B22" s="46" t="n"/>
      <c r="C22" s="46" t="n"/>
      <c r="D22" s="46" t="n"/>
      <c r="E22" s="46" t="n"/>
      <c r="F22" s="46">
        <f>IF(C22="","",IF(D22="","",IF(C22="Beginner",1,IF(C22="Intermediate",2,IF(C22="Advanced",3,4)))-IF(D22="Beginner",1,IF(D22="Intermediate",2,IF(D22="Advanced",3,4)))))</f>
        <v/>
      </c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64">
        <f>IF(N22="","",IF(M22=0,0,MIN(N22/M22,1)))</f>
        <v/>
      </c>
      <c r="Q22" s="46">
        <f>IF(P22="","",REPT("█",ROUND(P22*20,0))&amp;REPT("░",20-ROUND(P22*20,0)))</f>
        <v/>
      </c>
      <c r="R22" s="46" t="n"/>
    </row>
    <row r="23" ht="22" customHeight="1">
      <c r="A23" s="48" t="n"/>
      <c r="B23" s="48" t="n"/>
      <c r="C23" s="48" t="n"/>
      <c r="D23" s="48" t="n"/>
      <c r="E23" s="48" t="n"/>
      <c r="F23" s="48">
        <f>IF(C23="","",IF(D23="","",IF(C23="Beginner",1,IF(C23="Intermediate",2,IF(C23="Advanced",3,4)))-IF(D23="Beginner",1,IF(D23="Intermediate",2,IF(D23="Advanced",3,4)))))</f>
        <v/>
      </c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65">
        <f>IF(N23="","",IF(M23=0,0,MIN(N23/M23,1)))</f>
        <v/>
      </c>
      <c r="Q23" s="48">
        <f>IF(P23="","",REPT("█",ROUND(P23*20,0))&amp;REPT("░",20-ROUND(P23*20,0)))</f>
        <v/>
      </c>
      <c r="R23" s="48" t="n"/>
    </row>
    <row r="24" ht="22" customHeight="1">
      <c r="A24" s="46" t="n"/>
      <c r="B24" s="46" t="n"/>
      <c r="C24" s="46" t="n"/>
      <c r="D24" s="46" t="n"/>
      <c r="E24" s="46" t="n"/>
      <c r="F24" s="46">
        <f>IF(C24="","",IF(D24="","",IF(C24="Beginner",1,IF(C24="Intermediate",2,IF(C24="Advanced",3,4)))-IF(D24="Beginner",1,IF(D24="Intermediate",2,IF(D24="Advanced",3,4)))))</f>
        <v/>
      </c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64">
        <f>IF(N24="","",IF(M24=0,0,MIN(N24/M24,1)))</f>
        <v/>
      </c>
      <c r="Q24" s="46">
        <f>IF(P24="","",REPT("█",ROUND(P24*20,0))&amp;REPT("░",20-ROUND(P24*20,0)))</f>
        <v/>
      </c>
      <c r="R24" s="46" t="n"/>
    </row>
    <row r="25" ht="22" customHeight="1">
      <c r="A25" s="48" t="n"/>
      <c r="B25" s="48" t="n"/>
      <c r="C25" s="48" t="n"/>
      <c r="D25" s="48" t="n"/>
      <c r="E25" s="48" t="n"/>
      <c r="F25" s="48">
        <f>IF(C25="","",IF(D25="","",IF(C25="Beginner",1,IF(C25="Intermediate",2,IF(C25="Advanced",3,4)))-IF(D25="Beginner",1,IF(D25="Intermediate",2,IF(D25="Advanced",3,4)))))</f>
        <v/>
      </c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65">
        <f>IF(N25="","",IF(M25=0,0,MIN(N25/M25,1)))</f>
        <v/>
      </c>
      <c r="Q25" s="48">
        <f>IF(P25="","",REPT("█",ROUND(P25*20,0))&amp;REPT("░",20-ROUND(P25*20,0)))</f>
        <v/>
      </c>
      <c r="R25" s="48" t="n"/>
    </row>
    <row r="26" ht="22" customHeight="1">
      <c r="A26" s="46" t="n"/>
      <c r="B26" s="46" t="n"/>
      <c r="C26" s="46" t="n"/>
      <c r="D26" s="46" t="n"/>
      <c r="E26" s="46" t="n"/>
      <c r="F26" s="46">
        <f>IF(C26="","",IF(D26="","",IF(C26="Beginner",1,IF(C26="Intermediate",2,IF(C26="Advanced",3,4)))-IF(D26="Beginner",1,IF(D26="Intermediate",2,IF(D26="Advanced",3,4)))))</f>
        <v/>
      </c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64">
        <f>IF(N26="","",IF(M26=0,0,MIN(N26/M26,1)))</f>
        <v/>
      </c>
      <c r="Q26" s="46">
        <f>IF(P26="","",REPT("█",ROUND(P26*20,0))&amp;REPT("░",20-ROUND(P26*20,0)))</f>
        <v/>
      </c>
      <c r="R26" s="46" t="n"/>
    </row>
    <row r="27" ht="22" customHeight="1">
      <c r="A27" s="48" t="n"/>
      <c r="B27" s="48" t="n"/>
      <c r="C27" s="48" t="n"/>
      <c r="D27" s="48" t="n"/>
      <c r="E27" s="48" t="n"/>
      <c r="F27" s="48">
        <f>IF(C27="","",IF(D27="","",IF(C27="Beginner",1,IF(C27="Intermediate",2,IF(C27="Advanced",3,4)))-IF(D27="Beginner",1,IF(D27="Intermediate",2,IF(D27="Advanced",3,4)))))</f>
        <v/>
      </c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65">
        <f>IF(N27="","",IF(M27=0,0,MIN(N27/M27,1)))</f>
        <v/>
      </c>
      <c r="Q27" s="48">
        <f>IF(P27="","",REPT("█",ROUND(P27*20,0))&amp;REPT("░",20-ROUND(P27*20,0)))</f>
        <v/>
      </c>
      <c r="R27" s="48" t="n"/>
    </row>
    <row r="28" ht="22" customHeight="1">
      <c r="A28" s="46" t="n"/>
      <c r="B28" s="46" t="n"/>
      <c r="C28" s="46" t="n"/>
      <c r="D28" s="46" t="n"/>
      <c r="E28" s="46" t="n"/>
      <c r="F28" s="46">
        <f>IF(C28="","",IF(D28="","",IF(C28="Beginner",1,IF(C28="Intermediate",2,IF(C28="Advanced",3,4)))-IF(D28="Beginner",1,IF(D28="Intermediate",2,IF(D28="Advanced",3,4)))))</f>
        <v/>
      </c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64">
        <f>IF(N28="","",IF(M28=0,0,MIN(N28/M28,1)))</f>
        <v/>
      </c>
      <c r="Q28" s="46">
        <f>IF(P28="","",REPT("█",ROUND(P28*20,0))&amp;REPT("░",20-ROUND(P28*20,0)))</f>
        <v/>
      </c>
      <c r="R28" s="46" t="n"/>
    </row>
    <row r="29" ht="22" customHeight="1">
      <c r="A29" s="48" t="n"/>
      <c r="B29" s="48" t="n"/>
      <c r="C29" s="48" t="n"/>
      <c r="D29" s="48" t="n"/>
      <c r="E29" s="48" t="n"/>
      <c r="F29" s="48">
        <f>IF(C29="","",IF(D29="","",IF(C29="Beginner",1,IF(C29="Intermediate",2,IF(C29="Advanced",3,4)))-IF(D29="Beginner",1,IF(D29="Intermediate",2,IF(D29="Advanced",3,4)))))</f>
        <v/>
      </c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65">
        <f>IF(N29="","",IF(M29=0,0,MIN(N29/M29,1)))</f>
        <v/>
      </c>
      <c r="Q29" s="48">
        <f>IF(P29="","",REPT("█",ROUND(P29*20,0))&amp;REPT("░",20-ROUND(P29*20,0)))</f>
        <v/>
      </c>
      <c r="R29" s="48" t="n"/>
    </row>
    <row r="30" ht="22" customHeight="1">
      <c r="A30" s="46" t="n"/>
      <c r="B30" s="46" t="n"/>
      <c r="C30" s="46" t="n"/>
      <c r="D30" s="46" t="n"/>
      <c r="E30" s="46" t="n"/>
      <c r="F30" s="46">
        <f>IF(C30="","",IF(D30="","",IF(C30="Beginner",1,IF(C30="Intermediate",2,IF(C30="Advanced",3,4)))-IF(D30="Beginner",1,IF(D30="Intermediate",2,IF(D30="Advanced",3,4)))))</f>
        <v/>
      </c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64">
        <f>IF(N30="","",IF(M30=0,0,MIN(N30/M30,1)))</f>
        <v/>
      </c>
      <c r="Q30" s="46">
        <f>IF(P30="","",REPT("█",ROUND(P30*20,0))&amp;REPT("░",20-ROUND(P30*20,0)))</f>
        <v/>
      </c>
      <c r="R30" s="46" t="n"/>
    </row>
    <row r="31" ht="22" customHeight="1">
      <c r="A31" s="48" t="n"/>
      <c r="B31" s="48" t="n"/>
      <c r="C31" s="48" t="n"/>
      <c r="D31" s="48" t="n"/>
      <c r="E31" s="48" t="n"/>
      <c r="F31" s="48">
        <f>IF(C31="","",IF(D31="","",IF(C31="Beginner",1,IF(C31="Intermediate",2,IF(C31="Advanced",3,4)))-IF(D31="Beginner",1,IF(D31="Intermediate",2,IF(D31="Advanced",3,4)))))</f>
        <v/>
      </c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65">
        <f>IF(N31="","",IF(M31=0,0,MIN(N31/M31,1)))</f>
        <v/>
      </c>
      <c r="Q31" s="48">
        <f>IF(P31="","",REPT("█",ROUND(P31*20,0))&amp;REPT("░",20-ROUND(P31*20,0)))</f>
        <v/>
      </c>
      <c r="R31" s="48" t="n"/>
    </row>
    <row r="32" ht="22" customHeight="1">
      <c r="A32" s="46" t="n"/>
      <c r="B32" s="46" t="n"/>
      <c r="C32" s="46" t="n"/>
      <c r="D32" s="46" t="n"/>
      <c r="E32" s="46" t="n"/>
      <c r="F32" s="46">
        <f>IF(C32="","",IF(D32="","",IF(C32="Beginner",1,IF(C32="Intermediate",2,IF(C32="Advanced",3,4)))-IF(D32="Beginner",1,IF(D32="Intermediate",2,IF(D32="Advanced",3,4)))))</f>
        <v/>
      </c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64">
        <f>IF(N32="","",IF(M32=0,0,MIN(N32/M32,1)))</f>
        <v/>
      </c>
      <c r="Q32" s="46">
        <f>IF(P32="","",REPT("█",ROUND(P32*20,0))&amp;REPT("░",20-ROUND(P32*20,0)))</f>
        <v/>
      </c>
      <c r="R32" s="46" t="n"/>
    </row>
    <row r="33" ht="22" customHeight="1">
      <c r="A33" s="48" t="n"/>
      <c r="B33" s="48" t="n"/>
      <c r="C33" s="48" t="n"/>
      <c r="D33" s="48" t="n"/>
      <c r="E33" s="48" t="n"/>
      <c r="F33" s="48">
        <f>IF(C33="","",IF(D33="","",IF(C33="Beginner",1,IF(C33="Intermediate",2,IF(C33="Advanced",3,4)))-IF(D33="Beginner",1,IF(D33="Intermediate",2,IF(D33="Advanced",3,4)))))</f>
        <v/>
      </c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65">
        <f>IF(N33="","",IF(M33=0,0,MIN(N33/M33,1)))</f>
        <v/>
      </c>
      <c r="Q33" s="48">
        <f>IF(P33="","",REPT("█",ROUND(P33*20,0))&amp;REPT("░",20-ROUND(P33*20,0)))</f>
        <v/>
      </c>
      <c r="R33" s="48" t="n"/>
    </row>
    <row r="34" ht="22" customHeight="1">
      <c r="A34" s="46" t="n"/>
      <c r="B34" s="46" t="n"/>
      <c r="C34" s="46" t="n"/>
      <c r="D34" s="46" t="n"/>
      <c r="E34" s="46" t="n"/>
      <c r="F34" s="46">
        <f>IF(C34="","",IF(D34="","",IF(C34="Beginner",1,IF(C34="Intermediate",2,IF(C34="Advanced",3,4)))-IF(D34="Beginner",1,IF(D34="Intermediate",2,IF(D34="Advanced",3,4)))))</f>
        <v/>
      </c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64">
        <f>IF(N34="","",IF(M34=0,0,MIN(N34/M34,1)))</f>
        <v/>
      </c>
      <c r="Q34" s="46">
        <f>IF(P34="","",REPT("█",ROUND(P34*20,0))&amp;REPT("░",20-ROUND(P34*20,0)))</f>
        <v/>
      </c>
      <c r="R34" s="46" t="n"/>
    </row>
    <row r="35" ht="22" customHeight="1">
      <c r="A35" s="48" t="n"/>
      <c r="B35" s="48" t="n"/>
      <c r="C35" s="48" t="n"/>
      <c r="D35" s="48" t="n"/>
      <c r="E35" s="48" t="n"/>
      <c r="F35" s="48">
        <f>IF(C35="","",IF(D35="","",IF(C35="Beginner",1,IF(C35="Intermediate",2,IF(C35="Advanced",3,4)))-IF(D35="Beginner",1,IF(D35="Intermediate",2,IF(D35="Advanced",3,4)))))</f>
        <v/>
      </c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65">
        <f>IF(N35="","",IF(M35=0,0,MIN(N35/M35,1)))</f>
        <v/>
      </c>
      <c r="Q35" s="48">
        <f>IF(P35="","",REPT("█",ROUND(P35*20,0))&amp;REPT("░",20-ROUND(P35*20,0)))</f>
        <v/>
      </c>
      <c r="R35" s="48" t="n"/>
    </row>
    <row r="36" ht="22" customHeight="1">
      <c r="A36" s="46" t="n"/>
      <c r="B36" s="46" t="n"/>
      <c r="C36" s="46" t="n"/>
      <c r="D36" s="46" t="n"/>
      <c r="E36" s="46" t="n"/>
      <c r="F36" s="46">
        <f>IF(C36="","",IF(D36="","",IF(C36="Beginner",1,IF(C36="Intermediate",2,IF(C36="Advanced",3,4)))-IF(D36="Beginner",1,IF(D36="Intermediate",2,IF(D36="Advanced",3,4)))))</f>
        <v/>
      </c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64">
        <f>IF(N36="","",IF(M36=0,0,MIN(N36/M36,1)))</f>
        <v/>
      </c>
      <c r="Q36" s="46">
        <f>IF(P36="","",REPT("█",ROUND(P36*20,0))&amp;REPT("░",20-ROUND(P36*20,0)))</f>
        <v/>
      </c>
      <c r="R36" s="46" t="n"/>
    </row>
    <row r="37" ht="22" customHeight="1">
      <c r="A37" s="48" t="n"/>
      <c r="B37" s="48" t="n"/>
      <c r="C37" s="48" t="n"/>
      <c r="D37" s="48" t="n"/>
      <c r="E37" s="48" t="n"/>
      <c r="F37" s="48">
        <f>IF(C37="","",IF(D37="","",IF(C37="Beginner",1,IF(C37="Intermediate",2,IF(C37="Advanced",3,4)))-IF(D37="Beginner",1,IF(D37="Intermediate",2,IF(D37="Advanced",3,4)))))</f>
        <v/>
      </c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65">
        <f>IF(N37="","",IF(M37=0,0,MIN(N37/M37,1)))</f>
        <v/>
      </c>
      <c r="Q37" s="48">
        <f>IF(P37="","",REPT("█",ROUND(P37*20,0))&amp;REPT("░",20-ROUND(P37*20,0)))</f>
        <v/>
      </c>
      <c r="R37" s="48" t="n"/>
    </row>
    <row r="38" ht="22" customHeight="1">
      <c r="A38" s="46" t="n"/>
      <c r="B38" s="46" t="n"/>
      <c r="C38" s="46" t="n"/>
      <c r="D38" s="46" t="n"/>
      <c r="E38" s="46" t="n"/>
      <c r="F38" s="46">
        <f>IF(C38="","",IF(D38="","",IF(C38="Beginner",1,IF(C38="Intermediate",2,IF(C38="Advanced",3,4)))-IF(D38="Beginner",1,IF(D38="Intermediate",2,IF(D38="Advanced",3,4)))))</f>
        <v/>
      </c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64">
        <f>IF(N38="","",IF(M38=0,0,MIN(N38/M38,1)))</f>
        <v/>
      </c>
      <c r="Q38" s="46">
        <f>IF(P38="","",REPT("█",ROUND(P38*20,0))&amp;REPT("░",20-ROUND(P38*20,0)))</f>
        <v/>
      </c>
      <c r="R38" s="46" t="n"/>
    </row>
    <row r="39" ht="22" customHeight="1">
      <c r="A39" s="48" t="n"/>
      <c r="B39" s="48" t="n"/>
      <c r="C39" s="48" t="n"/>
      <c r="D39" s="48" t="n"/>
      <c r="E39" s="48" t="n"/>
      <c r="F39" s="48">
        <f>IF(C39="","",IF(D39="","",IF(C39="Beginner",1,IF(C39="Intermediate",2,IF(C39="Advanced",3,4)))-IF(D39="Beginner",1,IF(D39="Intermediate",2,IF(D39="Advanced",3,4)))))</f>
        <v/>
      </c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65">
        <f>IF(N39="","",IF(M39=0,0,MIN(N39/M39,1)))</f>
        <v/>
      </c>
      <c r="Q39" s="48">
        <f>IF(P39="","",REPT("█",ROUND(P39*20,0))&amp;REPT("░",20-ROUND(P39*20,0)))</f>
        <v/>
      </c>
      <c r="R39" s="48" t="n"/>
    </row>
    <row r="40" ht="22" customHeight="1">
      <c r="A40" s="46" t="n"/>
      <c r="B40" s="46" t="n"/>
      <c r="C40" s="46" t="n"/>
      <c r="D40" s="46" t="n"/>
      <c r="E40" s="46" t="n"/>
      <c r="F40" s="46">
        <f>IF(C40="","",IF(D40="","",IF(C40="Beginner",1,IF(C40="Intermediate",2,IF(C40="Advanced",3,4)))-IF(D40="Beginner",1,IF(D40="Intermediate",2,IF(D40="Advanced",3,4)))))</f>
        <v/>
      </c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64">
        <f>IF(N40="","",IF(M40=0,0,MIN(N40/M40,1)))</f>
        <v/>
      </c>
      <c r="Q40" s="46">
        <f>IF(P40="","",REPT("█",ROUND(P40*20,0))&amp;REPT("░",20-ROUND(P40*20,0)))</f>
        <v/>
      </c>
      <c r="R40" s="46" t="n"/>
    </row>
    <row r="41" ht="22" customHeight="1">
      <c r="A41" s="48" t="n"/>
      <c r="B41" s="48" t="n"/>
      <c r="C41" s="48" t="n"/>
      <c r="D41" s="48" t="n"/>
      <c r="E41" s="48" t="n"/>
      <c r="F41" s="48">
        <f>IF(C41="","",IF(D41="","",IF(C41="Beginner",1,IF(C41="Intermediate",2,IF(C41="Advanced",3,4)))-IF(D41="Beginner",1,IF(D41="Intermediate",2,IF(D41="Advanced",3,4)))))</f>
        <v/>
      </c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65">
        <f>IF(N41="","",IF(M41=0,0,MIN(N41/M41,1)))</f>
        <v/>
      </c>
      <c r="Q41" s="48">
        <f>IF(P41="","",REPT("█",ROUND(P41*20,0))&amp;REPT("░",20-ROUND(P41*20,0)))</f>
        <v/>
      </c>
      <c r="R41" s="48" t="n"/>
    </row>
    <row r="42" ht="22" customHeight="1">
      <c r="A42" s="46" t="n"/>
      <c r="B42" s="46" t="n"/>
      <c r="C42" s="46" t="n"/>
      <c r="D42" s="46" t="n"/>
      <c r="E42" s="46" t="n"/>
      <c r="F42" s="46">
        <f>IF(C42="","",IF(D42="","",IF(C42="Beginner",1,IF(C42="Intermediate",2,IF(C42="Advanced",3,4)))-IF(D42="Beginner",1,IF(D42="Intermediate",2,IF(D42="Advanced",3,4)))))</f>
        <v/>
      </c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64">
        <f>IF(N42="","",IF(M42=0,0,MIN(N42/M42,1)))</f>
        <v/>
      </c>
      <c r="Q42" s="46">
        <f>IF(P42="","",REPT("█",ROUND(P42*20,0))&amp;REPT("░",20-ROUND(P42*20,0)))</f>
        <v/>
      </c>
      <c r="R42" s="46" t="n"/>
    </row>
    <row r="43" ht="22" customHeight="1">
      <c r="A43" s="48" t="n"/>
      <c r="B43" s="48" t="n"/>
      <c r="C43" s="48" t="n"/>
      <c r="D43" s="48" t="n"/>
      <c r="E43" s="48" t="n"/>
      <c r="F43" s="48">
        <f>IF(C43="","",IF(D43="","",IF(C43="Beginner",1,IF(C43="Intermediate",2,IF(C43="Advanced",3,4)))-IF(D43="Beginner",1,IF(D43="Intermediate",2,IF(D43="Advanced",3,4)))))</f>
        <v/>
      </c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65">
        <f>IF(N43="","",IF(M43=0,0,MIN(N43/M43,1)))</f>
        <v/>
      </c>
      <c r="Q43" s="48">
        <f>IF(P43="","",REPT("█",ROUND(P43*20,0))&amp;REPT("░",20-ROUND(P43*20,0)))</f>
        <v/>
      </c>
      <c r="R43" s="48" t="n"/>
    </row>
    <row r="44" ht="22" customHeight="1">
      <c r="A44" s="46" t="n"/>
      <c r="B44" s="46" t="n"/>
      <c r="C44" s="46" t="n"/>
      <c r="D44" s="46" t="n"/>
      <c r="E44" s="46" t="n"/>
      <c r="F44" s="46">
        <f>IF(C44="","",IF(D44="","",IF(C44="Beginner",1,IF(C44="Intermediate",2,IF(C44="Advanced",3,4)))-IF(D44="Beginner",1,IF(D44="Intermediate",2,IF(D44="Advanced",3,4)))))</f>
        <v/>
      </c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64">
        <f>IF(N44="","",IF(M44=0,0,MIN(N44/M44,1)))</f>
        <v/>
      </c>
      <c r="Q44" s="46">
        <f>IF(P44="","",REPT("█",ROUND(P44*20,0))&amp;REPT("░",20-ROUND(P44*20,0)))</f>
        <v/>
      </c>
      <c r="R44" s="46" t="n"/>
    </row>
    <row r="45" ht="22" customHeight="1">
      <c r="A45" s="48" t="n"/>
      <c r="B45" s="48" t="n"/>
      <c r="C45" s="48" t="n"/>
      <c r="D45" s="48" t="n"/>
      <c r="E45" s="48" t="n"/>
      <c r="F45" s="48">
        <f>IF(C45="","",IF(D45="","",IF(C45="Beginner",1,IF(C45="Intermediate",2,IF(C45="Advanced",3,4)))-IF(D45="Beginner",1,IF(D45="Intermediate",2,IF(D45="Advanced",3,4)))))</f>
        <v/>
      </c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65">
        <f>IF(N45="","",IF(M45=0,0,MIN(N45/M45,1)))</f>
        <v/>
      </c>
      <c r="Q45" s="48">
        <f>IF(P45="","",REPT("█",ROUND(P45*20,0))&amp;REPT("░",20-ROUND(P45*20,0)))</f>
        <v/>
      </c>
      <c r="R45" s="48" t="n"/>
    </row>
    <row r="46" ht="22" customHeight="1">
      <c r="A46" s="46" t="n"/>
      <c r="B46" s="46" t="n"/>
      <c r="C46" s="46" t="n"/>
      <c r="D46" s="46" t="n"/>
      <c r="E46" s="46" t="n"/>
      <c r="F46" s="46">
        <f>IF(C46="","",IF(D46="","",IF(C46="Beginner",1,IF(C46="Intermediate",2,IF(C46="Advanced",3,4)))-IF(D46="Beginner",1,IF(D46="Intermediate",2,IF(D46="Advanced",3,4)))))</f>
        <v/>
      </c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64">
        <f>IF(N46="","",IF(M46=0,0,MIN(N46/M46,1)))</f>
        <v/>
      </c>
      <c r="Q46" s="46">
        <f>IF(P46="","",REPT("█",ROUND(P46*20,0))&amp;REPT("░",20-ROUND(P46*20,0)))</f>
        <v/>
      </c>
      <c r="R46" s="46" t="n"/>
    </row>
    <row r="47" ht="22" customHeight="1">
      <c r="A47" s="48" t="n"/>
      <c r="B47" s="48" t="n"/>
      <c r="C47" s="48" t="n"/>
      <c r="D47" s="48" t="n"/>
      <c r="E47" s="48" t="n"/>
      <c r="F47" s="48">
        <f>IF(C47="","",IF(D47="","",IF(C47="Beginner",1,IF(C47="Intermediate",2,IF(C47="Advanced",3,4)))-IF(D47="Beginner",1,IF(D47="Intermediate",2,IF(D47="Advanced",3,4)))))</f>
        <v/>
      </c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65">
        <f>IF(N47="","",IF(M47=0,0,MIN(N47/M47,1)))</f>
        <v/>
      </c>
      <c r="Q47" s="48">
        <f>IF(P47="","",REPT("█",ROUND(P47*20,0))&amp;REPT("░",20-ROUND(P47*20,0)))</f>
        <v/>
      </c>
      <c r="R47" s="48" t="n"/>
    </row>
    <row r="48" ht="22" customHeight="1">
      <c r="A48" s="46" t="n"/>
      <c r="B48" s="46" t="n"/>
      <c r="C48" s="46" t="n"/>
      <c r="D48" s="46" t="n"/>
      <c r="E48" s="46" t="n"/>
      <c r="F48" s="46">
        <f>IF(C48="","",IF(D48="","",IF(C48="Beginner",1,IF(C48="Intermediate",2,IF(C48="Advanced",3,4)))-IF(D48="Beginner",1,IF(D48="Intermediate",2,IF(D48="Advanced",3,4)))))</f>
        <v/>
      </c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64">
        <f>IF(N48="","",IF(M48=0,0,MIN(N48/M48,1)))</f>
        <v/>
      </c>
      <c r="Q48" s="46">
        <f>IF(P48="","",REPT("█",ROUND(P48*20,0))&amp;REPT("░",20-ROUND(P48*20,0)))</f>
        <v/>
      </c>
      <c r="R48" s="46" t="n"/>
    </row>
    <row r="49" ht="22" customHeight="1">
      <c r="A49" s="48" t="n"/>
      <c r="B49" s="48" t="n"/>
      <c r="C49" s="48" t="n"/>
      <c r="D49" s="48" t="n"/>
      <c r="E49" s="48" t="n"/>
      <c r="F49" s="48">
        <f>IF(C49="","",IF(D49="","",IF(C49="Beginner",1,IF(C49="Intermediate",2,IF(C49="Advanced",3,4)))-IF(D49="Beginner",1,IF(D49="Intermediate",2,IF(D49="Advanced",3,4)))))</f>
        <v/>
      </c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65">
        <f>IF(N49="","",IF(M49=0,0,MIN(N49/M49,1)))</f>
        <v/>
      </c>
      <c r="Q49" s="48">
        <f>IF(P49="","",REPT("█",ROUND(P49*20,0))&amp;REPT("░",20-ROUND(P49*20,0)))</f>
        <v/>
      </c>
      <c r="R49" s="48" t="n"/>
    </row>
    <row r="50" ht="22" customHeight="1">
      <c r="A50" s="46" t="n"/>
      <c r="B50" s="46" t="n"/>
      <c r="C50" s="46" t="n"/>
      <c r="D50" s="46" t="n"/>
      <c r="E50" s="46" t="n"/>
      <c r="F50" s="46">
        <f>IF(C50="","",IF(D50="","",IF(C50="Beginner",1,IF(C50="Intermediate",2,IF(C50="Advanced",3,4)))-IF(D50="Beginner",1,IF(D50="Intermediate",2,IF(D50="Advanced",3,4)))))</f>
        <v/>
      </c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64">
        <f>IF(N50="","",IF(M50=0,0,MIN(N50/M50,1)))</f>
        <v/>
      </c>
      <c r="Q50" s="46">
        <f>IF(P50="","",REPT("█",ROUND(P50*20,0))&amp;REPT("░",20-ROUND(P50*20,0)))</f>
        <v/>
      </c>
      <c r="R50" s="46" t="n"/>
    </row>
    <row r="51" ht="22" customHeight="1">
      <c r="A51" s="48" t="n"/>
      <c r="B51" s="48" t="n"/>
      <c r="C51" s="48" t="n"/>
      <c r="D51" s="48" t="n"/>
      <c r="E51" s="48" t="n"/>
      <c r="F51" s="48">
        <f>IF(C51="","",IF(D51="","",IF(C51="Beginner",1,IF(C51="Intermediate",2,IF(C51="Advanced",3,4)))-IF(D51="Beginner",1,IF(D51="Intermediate",2,IF(D51="Advanced",3,4)))))</f>
        <v/>
      </c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65">
        <f>IF(N51="","",IF(M51=0,0,MIN(N51/M51,1)))</f>
        <v/>
      </c>
      <c r="Q51" s="48">
        <f>IF(P51="","",REPT("█",ROUND(P51*20,0))&amp;REPT("░",20-ROUND(P51*20,0)))</f>
        <v/>
      </c>
      <c r="R51" s="48" t="n"/>
    </row>
    <row r="52" ht="22" customHeight="1">
      <c r="A52" s="46" t="n"/>
      <c r="B52" s="46" t="n"/>
      <c r="C52" s="46" t="n"/>
      <c r="D52" s="46" t="n"/>
      <c r="E52" s="46" t="n"/>
      <c r="F52" s="46">
        <f>IF(C52="","",IF(D52="","",IF(C52="Beginner",1,IF(C52="Intermediate",2,IF(C52="Advanced",3,4)))-IF(D52="Beginner",1,IF(D52="Intermediate",2,IF(D52="Advanced",3,4)))))</f>
        <v/>
      </c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64">
        <f>IF(N52="","",IF(M52=0,0,MIN(N52/M52,1)))</f>
        <v/>
      </c>
      <c r="Q52" s="46">
        <f>IF(P52="","",REPT("█",ROUND(P52*20,0))&amp;REPT("░",20-ROUND(P52*20,0)))</f>
        <v/>
      </c>
      <c r="R52" s="46" t="n"/>
    </row>
    <row r="53" ht="22" customHeight="1">
      <c r="A53" s="48" t="n"/>
      <c r="B53" s="48" t="n"/>
      <c r="C53" s="48" t="n"/>
      <c r="D53" s="48" t="n"/>
      <c r="E53" s="48" t="n"/>
      <c r="F53" s="48">
        <f>IF(C53="","",IF(D53="","",IF(C53="Beginner",1,IF(C53="Intermediate",2,IF(C53="Advanced",3,4)))-IF(D53="Beginner",1,IF(D53="Intermediate",2,IF(D53="Advanced",3,4)))))</f>
        <v/>
      </c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65">
        <f>IF(N53="","",IF(M53=0,0,MIN(N53/M53,1)))</f>
        <v/>
      </c>
      <c r="Q53" s="48">
        <f>IF(P53="","",REPT("█",ROUND(P53*20,0))&amp;REPT("░",20-ROUND(P53*20,0)))</f>
        <v/>
      </c>
      <c r="R53" s="48" t="n"/>
    </row>
    <row r="54" ht="22" customHeight="1">
      <c r="A54" s="46" t="n"/>
      <c r="B54" s="46" t="n"/>
      <c r="C54" s="46" t="n"/>
      <c r="D54" s="46" t="n"/>
      <c r="E54" s="46" t="n"/>
      <c r="F54" s="46">
        <f>IF(C54="","",IF(D54="","",IF(C54="Beginner",1,IF(C54="Intermediate",2,IF(C54="Advanced",3,4)))-IF(D54="Beginner",1,IF(D54="Intermediate",2,IF(D54="Advanced",3,4)))))</f>
        <v/>
      </c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64">
        <f>IF(N54="","",IF(M54=0,0,MIN(N54/M54,1)))</f>
        <v/>
      </c>
      <c r="Q54" s="46">
        <f>IF(P54="","",REPT("█",ROUND(P54*20,0))&amp;REPT("░",20-ROUND(P54*20,0)))</f>
        <v/>
      </c>
      <c r="R54" s="46" t="n"/>
    </row>
    <row r="55" ht="22" customHeight="1">
      <c r="A55" s="48" t="n"/>
      <c r="B55" s="48" t="n"/>
      <c r="C55" s="48" t="n"/>
      <c r="D55" s="48" t="n"/>
      <c r="E55" s="48" t="n"/>
      <c r="F55" s="48">
        <f>IF(C55="","",IF(D55="","",IF(C55="Beginner",1,IF(C55="Intermediate",2,IF(C55="Advanced",3,4)))-IF(D55="Beginner",1,IF(D55="Intermediate",2,IF(D55="Advanced",3,4)))))</f>
        <v/>
      </c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65">
        <f>IF(N55="","",IF(M55=0,0,MIN(N55/M55,1)))</f>
        <v/>
      </c>
      <c r="Q55" s="48">
        <f>IF(P55="","",REPT("█",ROUND(P55*20,0))&amp;REPT("░",20-ROUND(P55*20,0)))</f>
        <v/>
      </c>
      <c r="R55" s="48" t="n"/>
    </row>
    <row r="56" ht="22" customHeight="1">
      <c r="A56" s="46" t="n"/>
      <c r="B56" s="46" t="n"/>
      <c r="C56" s="46" t="n"/>
      <c r="D56" s="46" t="n"/>
      <c r="E56" s="46" t="n"/>
      <c r="F56" s="46">
        <f>IF(C56="","",IF(D56="","",IF(C56="Beginner",1,IF(C56="Intermediate",2,IF(C56="Advanced",3,4)))-IF(D56="Beginner",1,IF(D56="Intermediate",2,IF(D56="Advanced",3,4)))))</f>
        <v/>
      </c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64">
        <f>IF(N56="","",IF(M56=0,0,MIN(N56/M56,1)))</f>
        <v/>
      </c>
      <c r="Q56" s="46">
        <f>IF(P56="","",REPT("█",ROUND(P56*20,0))&amp;REPT("░",20-ROUND(P56*20,0)))</f>
        <v/>
      </c>
      <c r="R56" s="46" t="n"/>
    </row>
    <row r="57" ht="22" customHeight="1">
      <c r="A57" s="48" t="n"/>
      <c r="B57" s="48" t="n"/>
      <c r="C57" s="48" t="n"/>
      <c r="D57" s="48" t="n"/>
      <c r="E57" s="48" t="n"/>
      <c r="F57" s="48">
        <f>IF(C57="","",IF(D57="","",IF(C57="Beginner",1,IF(C57="Intermediate",2,IF(C57="Advanced",3,4)))-IF(D57="Beginner",1,IF(D57="Intermediate",2,IF(D57="Advanced",3,4)))))</f>
        <v/>
      </c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65">
        <f>IF(N57="","",IF(M57=0,0,MIN(N57/M57,1)))</f>
        <v/>
      </c>
      <c r="Q57" s="48">
        <f>IF(P57="","",REPT("█",ROUND(P57*20,0))&amp;REPT("░",20-ROUND(P57*20,0)))</f>
        <v/>
      </c>
      <c r="R57" s="48" t="n"/>
    </row>
    <row r="58" ht="22" customHeight="1">
      <c r="A58" s="46" t="n"/>
      <c r="B58" s="46" t="n"/>
      <c r="C58" s="46" t="n"/>
      <c r="D58" s="46" t="n"/>
      <c r="E58" s="46" t="n"/>
      <c r="F58" s="46">
        <f>IF(C58="","",IF(D58="","",IF(C58="Beginner",1,IF(C58="Intermediate",2,IF(C58="Advanced",3,4)))-IF(D58="Beginner",1,IF(D58="Intermediate",2,IF(D58="Advanced",3,4)))))</f>
        <v/>
      </c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64">
        <f>IF(N58="","",IF(M58=0,0,MIN(N58/M58,1)))</f>
        <v/>
      </c>
      <c r="Q58" s="46">
        <f>IF(P58="","",REPT("█",ROUND(P58*20,0))&amp;REPT("░",20-ROUND(P58*20,0)))</f>
        <v/>
      </c>
      <c r="R58" s="46" t="n"/>
    </row>
    <row r="59" ht="22" customHeight="1">
      <c r="A59" s="48" t="n"/>
      <c r="B59" s="48" t="n"/>
      <c r="C59" s="48" t="n"/>
      <c r="D59" s="48" t="n"/>
      <c r="E59" s="48" t="n"/>
      <c r="F59" s="48">
        <f>IF(C59="","",IF(D59="","",IF(C59="Beginner",1,IF(C59="Intermediate",2,IF(C59="Advanced",3,4)))-IF(D59="Beginner",1,IF(D59="Intermediate",2,IF(D59="Advanced",3,4)))))</f>
        <v/>
      </c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65">
        <f>IF(N59="","",IF(M59=0,0,MIN(N59/M59,1)))</f>
        <v/>
      </c>
      <c r="Q59" s="48">
        <f>IF(P59="","",REPT("█",ROUND(P59*20,0))&amp;REPT("░",20-ROUND(P59*20,0)))</f>
        <v/>
      </c>
      <c r="R59" s="48" t="n"/>
    </row>
    <row r="60" ht="22" customHeight="1">
      <c r="A60" s="46" t="n"/>
      <c r="B60" s="46" t="n"/>
      <c r="C60" s="46" t="n"/>
      <c r="D60" s="46" t="n"/>
      <c r="E60" s="46" t="n"/>
      <c r="F60" s="46">
        <f>IF(C60="","",IF(D60="","",IF(C60="Beginner",1,IF(C60="Intermediate",2,IF(C60="Advanced",3,4)))-IF(D60="Beginner",1,IF(D60="Intermediate",2,IF(D60="Advanced",3,4)))))</f>
        <v/>
      </c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64">
        <f>IF(N60="","",IF(M60=0,0,MIN(N60/M60,1)))</f>
        <v/>
      </c>
      <c r="Q60" s="46">
        <f>IF(P60="","",REPT("█",ROUND(P60*20,0))&amp;REPT("░",20-ROUND(P60*20,0)))</f>
        <v/>
      </c>
      <c r="R60" s="46" t="n"/>
    </row>
    <row r="61" ht="22" customHeight="1">
      <c r="A61" s="48" t="n"/>
      <c r="B61" s="48" t="n"/>
      <c r="C61" s="48" t="n"/>
      <c r="D61" s="48" t="n"/>
      <c r="E61" s="48" t="n"/>
      <c r="F61" s="48">
        <f>IF(C61="","",IF(D61="","",IF(C61="Beginner",1,IF(C61="Intermediate",2,IF(C61="Advanced",3,4)))-IF(D61="Beginner",1,IF(D61="Intermediate",2,IF(D61="Advanced",3,4)))))</f>
        <v/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65">
        <f>IF(N61="","",IF(M61=0,0,MIN(N61/M61,1)))</f>
        <v/>
      </c>
      <c r="Q61" s="48">
        <f>IF(P61="","",REPT("█",ROUND(P61*20,0))&amp;REPT("░",20-ROUND(P61*20,0)))</f>
        <v/>
      </c>
      <c r="R61" s="48" t="n"/>
    </row>
    <row r="62" ht="22" customHeight="1">
      <c r="A62" s="46" t="n"/>
      <c r="B62" s="46" t="n"/>
      <c r="C62" s="46" t="n"/>
      <c r="D62" s="46" t="n"/>
      <c r="E62" s="46" t="n"/>
      <c r="F62" s="46">
        <f>IF(C62="","",IF(D62="","",IF(C62="Beginner",1,IF(C62="Intermediate",2,IF(C62="Advanced",3,4)))-IF(D62="Beginner",1,IF(D62="Intermediate",2,IF(D62="Advanced",3,4)))))</f>
        <v/>
      </c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64">
        <f>IF(N62="","",IF(M62=0,0,MIN(N62/M62,1)))</f>
        <v/>
      </c>
      <c r="Q62" s="46">
        <f>IF(P62="","",REPT("█",ROUND(P62*20,0))&amp;REPT("░",20-ROUND(P62*20,0)))</f>
        <v/>
      </c>
      <c r="R62" s="46" t="n"/>
    </row>
    <row r="63" ht="22" customHeight="1">
      <c r="A63" s="48" t="n"/>
      <c r="B63" s="48" t="n"/>
      <c r="C63" s="48" t="n"/>
      <c r="D63" s="48" t="n"/>
      <c r="E63" s="48" t="n"/>
      <c r="F63" s="48">
        <f>IF(C63="","",IF(D63="","",IF(C63="Beginner",1,IF(C63="Intermediate",2,IF(C63="Advanced",3,4)))-IF(D63="Beginner",1,IF(D63="Intermediate",2,IF(D63="Advanced",3,4)))))</f>
        <v/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65">
        <f>IF(N63="","",IF(M63=0,0,MIN(N63/M63,1)))</f>
        <v/>
      </c>
      <c r="Q63" s="48">
        <f>IF(P63="","",REPT("█",ROUND(P63*20,0))&amp;REPT("░",20-ROUND(P63*20,0)))</f>
        <v/>
      </c>
      <c r="R63" s="48" t="n"/>
    </row>
    <row r="64" ht="22" customHeight="1">
      <c r="A64" s="46" t="n"/>
      <c r="B64" s="46" t="n"/>
      <c r="C64" s="46" t="n"/>
      <c r="D64" s="46" t="n"/>
      <c r="E64" s="46" t="n"/>
      <c r="F64" s="46">
        <f>IF(C64="","",IF(D64="","",IF(C64="Beginner",1,IF(C64="Intermediate",2,IF(C64="Advanced",3,4)))-IF(D64="Beginner",1,IF(D64="Intermediate",2,IF(D64="Advanced",3,4)))))</f>
        <v/>
      </c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64">
        <f>IF(N64="","",IF(M64=0,0,MIN(N64/M64,1)))</f>
        <v/>
      </c>
      <c r="Q64" s="46">
        <f>IF(P64="","",REPT("█",ROUND(P64*20,0))&amp;REPT("░",20-ROUND(P64*20,0)))</f>
        <v/>
      </c>
      <c r="R64" s="46" t="n"/>
    </row>
    <row r="65" ht="22" customHeight="1">
      <c r="A65" s="48" t="n"/>
      <c r="B65" s="48" t="n"/>
      <c r="C65" s="48" t="n"/>
      <c r="D65" s="48" t="n"/>
      <c r="E65" s="48" t="n"/>
      <c r="F65" s="48">
        <f>IF(C65="","",IF(D65="","",IF(C65="Beginner",1,IF(C65="Intermediate",2,IF(C65="Advanced",3,4)))-IF(D65="Beginner",1,IF(D65="Intermediate",2,IF(D65="Advanced",3,4)))))</f>
        <v/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65">
        <f>IF(N65="","",IF(M65=0,0,MIN(N65/M65,1)))</f>
        <v/>
      </c>
      <c r="Q65" s="48">
        <f>IF(P65="","",REPT("█",ROUND(P65*20,0))&amp;REPT("░",20-ROUND(P65*20,0)))</f>
        <v/>
      </c>
      <c r="R65" s="48" t="n"/>
    </row>
    <row r="66" ht="22" customHeight="1">
      <c r="A66" s="46" t="n"/>
      <c r="B66" s="46" t="n"/>
      <c r="C66" s="46" t="n"/>
      <c r="D66" s="46" t="n"/>
      <c r="E66" s="46" t="n"/>
      <c r="F66" s="46">
        <f>IF(C66="","",IF(D66="","",IF(C66="Beginner",1,IF(C66="Intermediate",2,IF(C66="Advanced",3,4)))-IF(D66="Beginner",1,IF(D66="Intermediate",2,IF(D66="Advanced",3,4)))))</f>
        <v/>
      </c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64">
        <f>IF(N66="","",IF(M66=0,0,MIN(N66/M66,1)))</f>
        <v/>
      </c>
      <c r="Q66" s="46">
        <f>IF(P66="","",REPT("█",ROUND(P66*20,0))&amp;REPT("░",20-ROUND(P66*20,0)))</f>
        <v/>
      </c>
      <c r="R66" s="46" t="n"/>
    </row>
    <row r="67" ht="22" customHeight="1">
      <c r="A67" s="48" t="n"/>
      <c r="B67" s="48" t="n"/>
      <c r="C67" s="48" t="n"/>
      <c r="D67" s="48" t="n"/>
      <c r="E67" s="48" t="n"/>
      <c r="F67" s="48">
        <f>IF(C67="","",IF(D67="","",IF(C67="Beginner",1,IF(C67="Intermediate",2,IF(C67="Advanced",3,4)))-IF(D67="Beginner",1,IF(D67="Intermediate",2,IF(D67="Advanced",3,4)))))</f>
        <v/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65">
        <f>IF(N67="","",IF(M67=0,0,MIN(N67/M67,1)))</f>
        <v/>
      </c>
      <c r="Q67" s="48">
        <f>IF(P67="","",REPT("█",ROUND(P67*20,0))&amp;REPT("░",20-ROUND(P67*20,0)))</f>
        <v/>
      </c>
      <c r="R67" s="48" t="n"/>
    </row>
    <row r="68" ht="22" customHeight="1">
      <c r="A68" s="46" t="n"/>
      <c r="B68" s="46" t="n"/>
      <c r="C68" s="46" t="n"/>
      <c r="D68" s="46" t="n"/>
      <c r="E68" s="46" t="n"/>
      <c r="F68" s="46">
        <f>IF(C68="","",IF(D68="","",IF(C68="Beginner",1,IF(C68="Intermediate",2,IF(C68="Advanced",3,4)))-IF(D68="Beginner",1,IF(D68="Intermediate",2,IF(D68="Advanced",3,4)))))</f>
        <v/>
      </c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64">
        <f>IF(N68="","",IF(M68=0,0,MIN(N68/M68,1)))</f>
        <v/>
      </c>
      <c r="Q68" s="46">
        <f>IF(P68="","",REPT("█",ROUND(P68*20,0))&amp;REPT("░",20-ROUND(P68*20,0)))</f>
        <v/>
      </c>
      <c r="R68" s="46" t="n"/>
    </row>
    <row r="69" ht="22" customHeight="1">
      <c r="A69" s="48" t="n"/>
      <c r="B69" s="48" t="n"/>
      <c r="C69" s="48" t="n"/>
      <c r="D69" s="48" t="n"/>
      <c r="E69" s="48" t="n"/>
      <c r="F69" s="48">
        <f>IF(C69="","",IF(D69="","",IF(C69="Beginner",1,IF(C69="Intermediate",2,IF(C69="Advanced",3,4)))-IF(D69="Beginner",1,IF(D69="Intermediate",2,IF(D69="Advanced",3,4)))))</f>
        <v/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65">
        <f>IF(N69="","",IF(M69=0,0,MIN(N69/M69,1)))</f>
        <v/>
      </c>
      <c r="Q69" s="48">
        <f>IF(P69="","",REPT("█",ROUND(P69*20,0))&amp;REPT("░",20-ROUND(P69*20,0)))</f>
        <v/>
      </c>
      <c r="R69" s="48" t="n"/>
    </row>
    <row r="70" ht="22" customHeight="1">
      <c r="A70" s="46" t="n"/>
      <c r="B70" s="46" t="n"/>
      <c r="C70" s="46" t="n"/>
      <c r="D70" s="46" t="n"/>
      <c r="E70" s="46" t="n"/>
      <c r="F70" s="46">
        <f>IF(C70="","",IF(D70="","",IF(C70="Beginner",1,IF(C70="Intermediate",2,IF(C70="Advanced",3,4)))-IF(D70="Beginner",1,IF(D70="Intermediate",2,IF(D70="Advanced",3,4)))))</f>
        <v/>
      </c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64">
        <f>IF(N70="","",IF(M70=0,0,MIN(N70/M70,1)))</f>
        <v/>
      </c>
      <c r="Q70" s="46">
        <f>IF(P70="","",REPT("█",ROUND(P70*20,0))&amp;REPT("░",20-ROUND(P70*20,0)))</f>
        <v/>
      </c>
      <c r="R70" s="46" t="n"/>
    </row>
    <row r="71" ht="22" customHeight="1">
      <c r="A71" s="48" t="n"/>
      <c r="B71" s="48" t="n"/>
      <c r="C71" s="48" t="n"/>
      <c r="D71" s="48" t="n"/>
      <c r="E71" s="48" t="n"/>
      <c r="F71" s="48">
        <f>IF(C71="","",IF(D71="","",IF(C71="Beginner",1,IF(C71="Intermediate",2,IF(C71="Advanced",3,4)))-IF(D71="Beginner",1,IF(D71="Intermediate",2,IF(D71="Advanced",3,4)))))</f>
        <v/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65">
        <f>IF(N71="","",IF(M71=0,0,MIN(N71/M71,1)))</f>
        <v/>
      </c>
      <c r="Q71" s="48">
        <f>IF(P71="","",REPT("█",ROUND(P71*20,0))&amp;REPT("░",20-ROUND(P71*20,0)))</f>
        <v/>
      </c>
      <c r="R71" s="48" t="n"/>
    </row>
    <row r="72" ht="22" customHeight="1">
      <c r="A72" s="46" t="n"/>
      <c r="B72" s="46" t="n"/>
      <c r="C72" s="46" t="n"/>
      <c r="D72" s="46" t="n"/>
      <c r="E72" s="46" t="n"/>
      <c r="F72" s="46">
        <f>IF(C72="","",IF(D72="","",IF(C72="Beginner",1,IF(C72="Intermediate",2,IF(C72="Advanced",3,4)))-IF(D72="Beginner",1,IF(D72="Intermediate",2,IF(D72="Advanced",3,4)))))</f>
        <v/>
      </c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64">
        <f>IF(N72="","",IF(M72=0,0,MIN(N72/M72,1)))</f>
        <v/>
      </c>
      <c r="Q72" s="46">
        <f>IF(P72="","",REPT("█",ROUND(P72*20,0))&amp;REPT("░",20-ROUND(P72*20,0)))</f>
        <v/>
      </c>
      <c r="R72" s="46" t="n"/>
    </row>
    <row r="73" ht="22" customHeight="1">
      <c r="A73" s="48" t="n"/>
      <c r="B73" s="48" t="n"/>
      <c r="C73" s="48" t="n"/>
      <c r="D73" s="48" t="n"/>
      <c r="E73" s="48" t="n"/>
      <c r="F73" s="48">
        <f>IF(C73="","",IF(D73="","",IF(C73="Beginner",1,IF(C73="Intermediate",2,IF(C73="Advanced",3,4)))-IF(D73="Beginner",1,IF(D73="Intermediate",2,IF(D73="Advanced",3,4)))))</f>
        <v/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65">
        <f>IF(N73="","",IF(M73=0,0,MIN(N73/M73,1)))</f>
        <v/>
      </c>
      <c r="Q73" s="48">
        <f>IF(P73="","",REPT("█",ROUND(P73*20,0))&amp;REPT("░",20-ROUND(P73*20,0)))</f>
        <v/>
      </c>
      <c r="R73" s="48" t="n"/>
    </row>
    <row r="74" ht="22" customHeight="1">
      <c r="A74" s="46" t="n"/>
      <c r="B74" s="46" t="n"/>
      <c r="C74" s="46" t="n"/>
      <c r="D74" s="46" t="n"/>
      <c r="E74" s="46" t="n"/>
      <c r="F74" s="46">
        <f>IF(C74="","",IF(D74="","",IF(C74="Beginner",1,IF(C74="Intermediate",2,IF(C74="Advanced",3,4)))-IF(D74="Beginner",1,IF(D74="Intermediate",2,IF(D74="Advanced",3,4)))))</f>
        <v/>
      </c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64">
        <f>IF(N74="","",IF(M74=0,0,MIN(N74/M74,1)))</f>
        <v/>
      </c>
      <c r="Q74" s="46">
        <f>IF(P74="","",REPT("█",ROUND(P74*20,0))&amp;REPT("░",20-ROUND(P74*20,0)))</f>
        <v/>
      </c>
      <c r="R74" s="46" t="n"/>
    </row>
    <row r="75" ht="22" customHeight="1">
      <c r="A75" s="48" t="n"/>
      <c r="B75" s="48" t="n"/>
      <c r="C75" s="48" t="n"/>
      <c r="D75" s="48" t="n"/>
      <c r="E75" s="48" t="n"/>
      <c r="F75" s="48">
        <f>IF(C75="","",IF(D75="","",IF(C75="Beginner",1,IF(C75="Intermediate",2,IF(C75="Advanced",3,4)))-IF(D75="Beginner",1,IF(D75="Intermediate",2,IF(D75="Advanced",3,4)))))</f>
        <v/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65">
        <f>IF(N75="","",IF(M75=0,0,MIN(N75/M75,1)))</f>
        <v/>
      </c>
      <c r="Q75" s="48">
        <f>IF(P75="","",REPT("█",ROUND(P75*20,0))&amp;REPT("░",20-ROUND(P75*20,0)))</f>
        <v/>
      </c>
      <c r="R75" s="48" t="n"/>
    </row>
    <row r="76" ht="22" customHeight="1">
      <c r="A76" s="46" t="n"/>
      <c r="B76" s="46" t="n"/>
      <c r="C76" s="46" t="n"/>
      <c r="D76" s="46" t="n"/>
      <c r="E76" s="46" t="n"/>
      <c r="F76" s="46">
        <f>IF(C76="","",IF(D76="","",IF(C76="Beginner",1,IF(C76="Intermediate",2,IF(C76="Advanced",3,4)))-IF(D76="Beginner",1,IF(D76="Intermediate",2,IF(D76="Advanced",3,4)))))</f>
        <v/>
      </c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64">
        <f>IF(N76="","",IF(M76=0,0,MIN(N76/M76,1)))</f>
        <v/>
      </c>
      <c r="Q76" s="46">
        <f>IF(P76="","",REPT("█",ROUND(P76*20,0))&amp;REPT("░",20-ROUND(P76*20,0)))</f>
        <v/>
      </c>
      <c r="R76" s="46" t="n"/>
    </row>
    <row r="77" ht="22" customHeight="1">
      <c r="A77" s="48" t="n"/>
      <c r="B77" s="48" t="n"/>
      <c r="C77" s="48" t="n"/>
      <c r="D77" s="48" t="n"/>
      <c r="E77" s="48" t="n"/>
      <c r="F77" s="48">
        <f>IF(C77="","",IF(D77="","",IF(C77="Beginner",1,IF(C77="Intermediate",2,IF(C77="Advanced",3,4)))-IF(D77="Beginner",1,IF(D77="Intermediate",2,IF(D77="Advanced",3,4)))))</f>
        <v/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65">
        <f>IF(N77="","",IF(M77=0,0,MIN(N77/M77,1)))</f>
        <v/>
      </c>
      <c r="Q77" s="48">
        <f>IF(P77="","",REPT("█",ROUND(P77*20,0))&amp;REPT("░",20-ROUND(P77*20,0)))</f>
        <v/>
      </c>
      <c r="R77" s="48" t="n"/>
    </row>
    <row r="78" ht="22" customHeight="1">
      <c r="A78" s="46" t="n"/>
      <c r="B78" s="46" t="n"/>
      <c r="C78" s="46" t="n"/>
      <c r="D78" s="46" t="n"/>
      <c r="E78" s="46" t="n"/>
      <c r="F78" s="46">
        <f>IF(C78="","",IF(D78="","",IF(C78="Beginner",1,IF(C78="Intermediate",2,IF(C78="Advanced",3,4)))-IF(D78="Beginner",1,IF(D78="Intermediate",2,IF(D78="Advanced",3,4)))))</f>
        <v/>
      </c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64">
        <f>IF(N78="","",IF(M78=0,0,MIN(N78/M78,1)))</f>
        <v/>
      </c>
      <c r="Q78" s="46">
        <f>IF(P78="","",REPT("█",ROUND(P78*20,0))&amp;REPT("░",20-ROUND(P78*20,0)))</f>
        <v/>
      </c>
      <c r="R78" s="46" t="n"/>
    </row>
    <row r="79" ht="22" customHeight="1">
      <c r="A79" s="48" t="n"/>
      <c r="B79" s="48" t="n"/>
      <c r="C79" s="48" t="n"/>
      <c r="D79" s="48" t="n"/>
      <c r="E79" s="48" t="n"/>
      <c r="F79" s="48">
        <f>IF(C79="","",IF(D79="","",IF(C79="Beginner",1,IF(C79="Intermediate",2,IF(C79="Advanced",3,4)))-IF(D79="Beginner",1,IF(D79="Intermediate",2,IF(D79="Advanced",3,4)))))</f>
        <v/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65">
        <f>IF(N79="","",IF(M79=0,0,MIN(N79/M79,1)))</f>
        <v/>
      </c>
      <c r="Q79" s="48">
        <f>IF(P79="","",REPT("█",ROUND(P79*20,0))&amp;REPT("░",20-ROUND(P79*20,0)))</f>
        <v/>
      </c>
      <c r="R79" s="48" t="n"/>
    </row>
    <row r="80" ht="22" customHeight="1">
      <c r="A80" s="46" t="n"/>
      <c r="B80" s="46" t="n"/>
      <c r="C80" s="46" t="n"/>
      <c r="D80" s="46" t="n"/>
      <c r="E80" s="46" t="n"/>
      <c r="F80" s="46">
        <f>IF(C80="","",IF(D80="","",IF(C80="Beginner",1,IF(C80="Intermediate",2,IF(C80="Advanced",3,4)))-IF(D80="Beginner",1,IF(D80="Intermediate",2,IF(D80="Advanced",3,4)))))</f>
        <v/>
      </c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64">
        <f>IF(N80="","",IF(M80=0,0,MIN(N80/M80,1)))</f>
        <v/>
      </c>
      <c r="Q80" s="46">
        <f>IF(P80="","",REPT("█",ROUND(P80*20,0))&amp;REPT("░",20-ROUND(P80*20,0)))</f>
        <v/>
      </c>
      <c r="R80" s="46" t="n"/>
    </row>
    <row r="81" ht="22" customHeight="1">
      <c r="A81" s="48" t="n"/>
      <c r="B81" s="48" t="n"/>
      <c r="C81" s="48" t="n"/>
      <c r="D81" s="48" t="n"/>
      <c r="E81" s="48" t="n"/>
      <c r="F81" s="48">
        <f>IF(C81="","",IF(D81="","",IF(C81="Beginner",1,IF(C81="Intermediate",2,IF(C81="Advanced",3,4)))-IF(D81="Beginner",1,IF(D81="Intermediate",2,IF(D81="Advanced",3,4)))))</f>
        <v/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65">
        <f>IF(N81="","",IF(M81=0,0,MIN(N81/M81,1)))</f>
        <v/>
      </c>
      <c r="Q81" s="48">
        <f>IF(P81="","",REPT("█",ROUND(P81*20,0))&amp;REPT("░",20-ROUND(P81*20,0)))</f>
        <v/>
      </c>
      <c r="R81" s="48" t="n"/>
    </row>
    <row r="82" ht="22" customHeight="1">
      <c r="A82" s="46" t="n"/>
      <c r="B82" s="46" t="n"/>
      <c r="C82" s="46" t="n"/>
      <c r="D82" s="46" t="n"/>
      <c r="E82" s="46" t="n"/>
      <c r="F82" s="46">
        <f>IF(C82="","",IF(D82="","",IF(C82="Beginner",1,IF(C82="Intermediate",2,IF(C82="Advanced",3,4)))-IF(D82="Beginner",1,IF(D82="Intermediate",2,IF(D82="Advanced",3,4)))))</f>
        <v/>
      </c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64">
        <f>IF(N82="","",IF(M82=0,0,MIN(N82/M82,1)))</f>
        <v/>
      </c>
      <c r="Q82" s="46">
        <f>IF(P82="","",REPT("█",ROUND(P82*20,0))&amp;REPT("░",20-ROUND(P82*20,0)))</f>
        <v/>
      </c>
      <c r="R82" s="46" t="n"/>
    </row>
    <row r="83" ht="22" customHeight="1">
      <c r="A83" s="48" t="n"/>
      <c r="B83" s="48" t="n"/>
      <c r="C83" s="48" t="n"/>
      <c r="D83" s="48" t="n"/>
      <c r="E83" s="48" t="n"/>
      <c r="F83" s="48">
        <f>IF(C83="","",IF(D83="","",IF(C83="Beginner",1,IF(C83="Intermediate",2,IF(C83="Advanced",3,4)))-IF(D83="Beginner",1,IF(D83="Intermediate",2,IF(D83="Advanced",3,4)))))</f>
        <v/>
      </c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65">
        <f>IF(N83="","",IF(M83=0,0,MIN(N83/M83,1)))</f>
        <v/>
      </c>
      <c r="Q83" s="48">
        <f>IF(P83="","",REPT("█",ROUND(P83*20,0))&amp;REPT("░",20-ROUND(P83*20,0)))</f>
        <v/>
      </c>
      <c r="R83" s="48" t="n"/>
    </row>
    <row r="84" ht="22" customHeight="1">
      <c r="A84" s="46" t="n"/>
      <c r="B84" s="46" t="n"/>
      <c r="C84" s="46" t="n"/>
      <c r="D84" s="46" t="n"/>
      <c r="E84" s="46" t="n"/>
      <c r="F84" s="46">
        <f>IF(C84="","",IF(D84="","",IF(C84="Beginner",1,IF(C84="Intermediate",2,IF(C84="Advanced",3,4)))-IF(D84="Beginner",1,IF(D84="Intermediate",2,IF(D84="Advanced",3,4)))))</f>
        <v/>
      </c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64">
        <f>IF(N84="","",IF(M84=0,0,MIN(N84/M84,1)))</f>
        <v/>
      </c>
      <c r="Q84" s="46">
        <f>IF(P84="","",REPT("█",ROUND(P84*20,0))&amp;REPT("░",20-ROUND(P84*20,0)))</f>
        <v/>
      </c>
      <c r="R84" s="46" t="n"/>
    </row>
    <row r="85" ht="22" customHeight="1">
      <c r="A85" s="48" t="n"/>
      <c r="B85" s="48" t="n"/>
      <c r="C85" s="48" t="n"/>
      <c r="D85" s="48" t="n"/>
      <c r="E85" s="48" t="n"/>
      <c r="F85" s="48">
        <f>IF(C85="","",IF(D85="","",IF(C85="Beginner",1,IF(C85="Intermediate",2,IF(C85="Advanced",3,4)))-IF(D85="Beginner",1,IF(D85="Intermediate",2,IF(D85="Advanced",3,4)))))</f>
        <v/>
      </c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65">
        <f>IF(N85="","",IF(M85=0,0,MIN(N85/M85,1)))</f>
        <v/>
      </c>
      <c r="Q85" s="48">
        <f>IF(P85="","",REPT("█",ROUND(P85*20,0))&amp;REPT("░",20-ROUND(P85*20,0)))</f>
        <v/>
      </c>
      <c r="R85" s="48" t="n"/>
    </row>
    <row r="86" ht="22" customHeight="1">
      <c r="A86" s="46" t="n"/>
      <c r="B86" s="46" t="n"/>
      <c r="C86" s="46" t="n"/>
      <c r="D86" s="46" t="n"/>
      <c r="E86" s="46" t="n"/>
      <c r="F86" s="46">
        <f>IF(C86="","",IF(D86="","",IF(C86="Beginner",1,IF(C86="Intermediate",2,IF(C86="Advanced",3,4)))-IF(D86="Beginner",1,IF(D86="Intermediate",2,IF(D86="Advanced",3,4)))))</f>
        <v/>
      </c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64">
        <f>IF(N86="","",IF(M86=0,0,MIN(N86/M86,1)))</f>
        <v/>
      </c>
      <c r="Q86" s="46">
        <f>IF(P86="","",REPT("█",ROUND(P86*20,0))&amp;REPT("░",20-ROUND(P86*20,0)))</f>
        <v/>
      </c>
      <c r="R86" s="46" t="n"/>
    </row>
    <row r="87" ht="22" customHeight="1">
      <c r="A87" s="48" t="n"/>
      <c r="B87" s="48" t="n"/>
      <c r="C87" s="48" t="n"/>
      <c r="D87" s="48" t="n"/>
      <c r="E87" s="48" t="n"/>
      <c r="F87" s="48">
        <f>IF(C87="","",IF(D87="","",IF(C87="Beginner",1,IF(C87="Intermediate",2,IF(C87="Advanced",3,4)))-IF(D87="Beginner",1,IF(D87="Intermediate",2,IF(D87="Advanced",3,4)))))</f>
        <v/>
      </c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65">
        <f>IF(N87="","",IF(M87=0,0,MIN(N87/M87,1)))</f>
        <v/>
      </c>
      <c r="Q87" s="48">
        <f>IF(P87="","",REPT("█",ROUND(P87*20,0))&amp;REPT("░",20-ROUND(P87*20,0)))</f>
        <v/>
      </c>
      <c r="R87" s="48" t="n"/>
    </row>
    <row r="88" ht="22" customHeight="1">
      <c r="A88" s="46" t="n"/>
      <c r="B88" s="46" t="n"/>
      <c r="C88" s="46" t="n"/>
      <c r="D88" s="46" t="n"/>
      <c r="E88" s="46" t="n"/>
      <c r="F88" s="46">
        <f>IF(C88="","",IF(D88="","",IF(C88="Beginner",1,IF(C88="Intermediate",2,IF(C88="Advanced",3,4)))-IF(D88="Beginner",1,IF(D88="Intermediate",2,IF(D88="Advanced",3,4)))))</f>
        <v/>
      </c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64">
        <f>IF(N88="","",IF(M88=0,0,MIN(N88/M88,1)))</f>
        <v/>
      </c>
      <c r="Q88" s="46">
        <f>IF(P88="","",REPT("█",ROUND(P88*20,0))&amp;REPT("░",20-ROUND(P88*20,0)))</f>
        <v/>
      </c>
      <c r="R88" s="46" t="n"/>
    </row>
    <row r="89" ht="22" customHeight="1">
      <c r="A89" s="48" t="n"/>
      <c r="B89" s="48" t="n"/>
      <c r="C89" s="48" t="n"/>
      <c r="D89" s="48" t="n"/>
      <c r="E89" s="48" t="n"/>
      <c r="F89" s="48">
        <f>IF(C89="","",IF(D89="","",IF(C89="Beginner",1,IF(C89="Intermediate",2,IF(C89="Advanced",3,4)))-IF(D89="Beginner",1,IF(D89="Intermediate",2,IF(D89="Advanced",3,4)))))</f>
        <v/>
      </c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65">
        <f>IF(N89="","",IF(M89=0,0,MIN(N89/M89,1)))</f>
        <v/>
      </c>
      <c r="Q89" s="48">
        <f>IF(P89="","",REPT("█",ROUND(P89*20,0))&amp;REPT("░",20-ROUND(P89*20,0)))</f>
        <v/>
      </c>
      <c r="R89" s="48" t="n"/>
    </row>
    <row r="90" ht="22" customHeight="1">
      <c r="A90" s="46" t="n"/>
      <c r="B90" s="46" t="n"/>
      <c r="C90" s="46" t="n"/>
      <c r="D90" s="46" t="n"/>
      <c r="E90" s="46" t="n"/>
      <c r="F90" s="46">
        <f>IF(C90="","",IF(D90="","",IF(C90="Beginner",1,IF(C90="Intermediate",2,IF(C90="Advanced",3,4)))-IF(D90="Beginner",1,IF(D90="Intermediate",2,IF(D90="Advanced",3,4)))))</f>
        <v/>
      </c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64">
        <f>IF(N90="","",IF(M90=0,0,MIN(N90/M90,1)))</f>
        <v/>
      </c>
      <c r="Q90" s="46">
        <f>IF(P90="","",REPT("█",ROUND(P90*20,0))&amp;REPT("░",20-ROUND(P90*20,0)))</f>
        <v/>
      </c>
      <c r="R90" s="46" t="n"/>
    </row>
    <row r="91" ht="22" customHeight="1">
      <c r="A91" s="48" t="n"/>
      <c r="B91" s="48" t="n"/>
      <c r="C91" s="48" t="n"/>
      <c r="D91" s="48" t="n"/>
      <c r="E91" s="48" t="n"/>
      <c r="F91" s="48">
        <f>IF(C91="","",IF(D91="","",IF(C91="Beginner",1,IF(C91="Intermediate",2,IF(C91="Advanced",3,4)))-IF(D91="Beginner",1,IF(D91="Intermediate",2,IF(D91="Advanced",3,4)))))</f>
        <v/>
      </c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65">
        <f>IF(N91="","",IF(M91=0,0,MIN(N91/M91,1)))</f>
        <v/>
      </c>
      <c r="Q91" s="48">
        <f>IF(P91="","",REPT("█",ROUND(P91*20,0))&amp;REPT("░",20-ROUND(P91*20,0)))</f>
        <v/>
      </c>
      <c r="R91" s="48" t="n"/>
    </row>
    <row r="92" ht="22" customHeight="1">
      <c r="A92" s="46" t="n"/>
      <c r="B92" s="46" t="n"/>
      <c r="C92" s="46" t="n"/>
      <c r="D92" s="46" t="n"/>
      <c r="E92" s="46" t="n"/>
      <c r="F92" s="46">
        <f>IF(C92="","",IF(D92="","",IF(C92="Beginner",1,IF(C92="Intermediate",2,IF(C92="Advanced",3,4)))-IF(D92="Beginner",1,IF(D92="Intermediate",2,IF(D92="Advanced",3,4)))))</f>
        <v/>
      </c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64">
        <f>IF(N92="","",IF(M92=0,0,MIN(N92/M92,1)))</f>
        <v/>
      </c>
      <c r="Q92" s="46">
        <f>IF(P92="","",REPT("█",ROUND(P92*20,0))&amp;REPT("░",20-ROUND(P92*20,0)))</f>
        <v/>
      </c>
      <c r="R92" s="46" t="n"/>
    </row>
    <row r="93" ht="22" customHeight="1">
      <c r="A93" s="48" t="n"/>
      <c r="B93" s="48" t="n"/>
      <c r="C93" s="48" t="n"/>
      <c r="D93" s="48" t="n"/>
      <c r="E93" s="48" t="n"/>
      <c r="F93" s="48">
        <f>IF(C93="","",IF(D93="","",IF(C93="Beginner",1,IF(C93="Intermediate",2,IF(C93="Advanced",3,4)))-IF(D93="Beginner",1,IF(D93="Intermediate",2,IF(D93="Advanced",3,4)))))</f>
        <v/>
      </c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65">
        <f>IF(N93="","",IF(M93=0,0,MIN(N93/M93,1)))</f>
        <v/>
      </c>
      <c r="Q93" s="48">
        <f>IF(P93="","",REPT("█",ROUND(P93*20,0))&amp;REPT("░",20-ROUND(P93*20,0)))</f>
        <v/>
      </c>
      <c r="R93" s="48" t="n"/>
    </row>
    <row r="94" ht="22" customHeight="1">
      <c r="A94" s="46" t="n"/>
      <c r="B94" s="46" t="n"/>
      <c r="C94" s="46" t="n"/>
      <c r="D94" s="46" t="n"/>
      <c r="E94" s="46" t="n"/>
      <c r="F94" s="46">
        <f>IF(C94="","",IF(D94="","",IF(C94="Beginner",1,IF(C94="Intermediate",2,IF(C94="Advanced",3,4)))-IF(D94="Beginner",1,IF(D94="Intermediate",2,IF(D94="Advanced",3,4)))))</f>
        <v/>
      </c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64">
        <f>IF(N94="","",IF(M94=0,0,MIN(N94/M94,1)))</f>
        <v/>
      </c>
      <c r="Q94" s="46">
        <f>IF(P94="","",REPT("█",ROUND(P94*20,0))&amp;REPT("░",20-ROUND(P94*20,0)))</f>
        <v/>
      </c>
      <c r="R94" s="46" t="n"/>
    </row>
    <row r="95" ht="22" customHeight="1">
      <c r="A95" s="48" t="n"/>
      <c r="B95" s="48" t="n"/>
      <c r="C95" s="48" t="n"/>
      <c r="D95" s="48" t="n"/>
      <c r="E95" s="48" t="n"/>
      <c r="F95" s="48">
        <f>IF(C95="","",IF(D95="","",IF(C95="Beginner",1,IF(C95="Intermediate",2,IF(C95="Advanced",3,4)))-IF(D95="Beginner",1,IF(D95="Intermediate",2,IF(D95="Advanced",3,4)))))</f>
        <v/>
      </c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65">
        <f>IF(N95="","",IF(M95=0,0,MIN(N95/M95,1)))</f>
        <v/>
      </c>
      <c r="Q95" s="48">
        <f>IF(P95="","",REPT("█",ROUND(P95*20,0))&amp;REPT("░",20-ROUND(P95*20,0)))</f>
        <v/>
      </c>
      <c r="R95" s="48" t="n"/>
    </row>
    <row r="96" ht="22" customHeight="1">
      <c r="A96" s="46" t="n"/>
      <c r="B96" s="46" t="n"/>
      <c r="C96" s="46" t="n"/>
      <c r="D96" s="46" t="n"/>
      <c r="E96" s="46" t="n"/>
      <c r="F96" s="46">
        <f>IF(C96="","",IF(D96="","",IF(C96="Beginner",1,IF(C96="Intermediate",2,IF(C96="Advanced",3,4)))-IF(D96="Beginner",1,IF(D96="Intermediate",2,IF(D96="Advanced",3,4)))))</f>
        <v/>
      </c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64">
        <f>IF(N96="","",IF(M96=0,0,MIN(N96/M96,1)))</f>
        <v/>
      </c>
      <c r="Q96" s="46">
        <f>IF(P96="","",REPT("█",ROUND(P96*20,0))&amp;REPT("░",20-ROUND(P96*20,0)))</f>
        <v/>
      </c>
      <c r="R96" s="46" t="n"/>
    </row>
    <row r="97" ht="22" customHeight="1">
      <c r="A97" s="48" t="n"/>
      <c r="B97" s="48" t="n"/>
      <c r="C97" s="48" t="n"/>
      <c r="D97" s="48" t="n"/>
      <c r="E97" s="48" t="n"/>
      <c r="F97" s="48">
        <f>IF(C97="","",IF(D97="","",IF(C97="Beginner",1,IF(C97="Intermediate",2,IF(C97="Advanced",3,4)))-IF(D97="Beginner",1,IF(D97="Intermediate",2,IF(D97="Advanced",3,4)))))</f>
        <v/>
      </c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65">
        <f>IF(N97="","",IF(M97=0,0,MIN(N97/M97,1)))</f>
        <v/>
      </c>
      <c r="Q97" s="48">
        <f>IF(P97="","",REPT("█",ROUND(P97*20,0))&amp;REPT("░",20-ROUND(P97*20,0)))</f>
        <v/>
      </c>
      <c r="R97" s="48" t="n"/>
    </row>
    <row r="98" ht="22" customHeight="1">
      <c r="A98" s="46" t="n"/>
      <c r="B98" s="46" t="n"/>
      <c r="C98" s="46" t="n"/>
      <c r="D98" s="46" t="n"/>
      <c r="E98" s="46" t="n"/>
      <c r="F98" s="46">
        <f>IF(C98="","",IF(D98="","",IF(C98="Beginner",1,IF(C98="Intermediate",2,IF(C98="Advanced",3,4)))-IF(D98="Beginner",1,IF(D98="Intermediate",2,IF(D98="Advanced",3,4)))))</f>
        <v/>
      </c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64">
        <f>IF(N98="","",IF(M98=0,0,MIN(N98/M98,1)))</f>
        <v/>
      </c>
      <c r="Q98" s="46">
        <f>IF(P98="","",REPT("█",ROUND(P98*20,0))&amp;REPT("░",20-ROUND(P98*20,0)))</f>
        <v/>
      </c>
      <c r="R98" s="46" t="n"/>
    </row>
    <row r="99" ht="22" customHeight="1">
      <c r="A99" s="48" t="n"/>
      <c r="B99" s="48" t="n"/>
      <c r="C99" s="48" t="n"/>
      <c r="D99" s="48" t="n"/>
      <c r="E99" s="48" t="n"/>
      <c r="F99" s="48">
        <f>IF(C99="","",IF(D99="","",IF(C99="Beginner",1,IF(C99="Intermediate",2,IF(C99="Advanced",3,4)))-IF(D99="Beginner",1,IF(D99="Intermediate",2,IF(D99="Advanced",3,4)))))</f>
        <v/>
      </c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65">
        <f>IF(N99="","",IF(M99=0,0,MIN(N99/M99,1)))</f>
        <v/>
      </c>
      <c r="Q99" s="48">
        <f>IF(P99="","",REPT("█",ROUND(P99*20,0))&amp;REPT("░",20-ROUND(P99*20,0)))</f>
        <v/>
      </c>
      <c r="R99" s="48" t="n"/>
    </row>
    <row r="100" ht="22" customHeight="1">
      <c r="A100" s="46" t="n"/>
      <c r="B100" s="46" t="n"/>
      <c r="C100" s="46" t="n"/>
      <c r="D100" s="46" t="n"/>
      <c r="E100" s="46" t="n"/>
      <c r="F100" s="46">
        <f>IF(C100="","",IF(D100="","",IF(C100="Beginner",1,IF(C100="Intermediate",2,IF(C100="Advanced",3,4)))-IF(D100="Beginner",1,IF(D100="Intermediate",2,IF(D100="Advanced",3,4)))))</f>
        <v/>
      </c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64">
        <f>IF(N100="","",IF(M100=0,0,MIN(N100/M100,1)))</f>
        <v/>
      </c>
      <c r="Q100" s="46">
        <f>IF(P100="","",REPT("█",ROUND(P100*20,0))&amp;REPT("░",20-ROUND(P100*20,0)))</f>
        <v/>
      </c>
      <c r="R100" s="46" t="n"/>
    </row>
    <row r="101" ht="22" customHeight="1">
      <c r="A101" s="48" t="n"/>
      <c r="B101" s="48" t="n"/>
      <c r="C101" s="48" t="n"/>
      <c r="D101" s="48" t="n"/>
      <c r="E101" s="48" t="n"/>
      <c r="F101" s="48">
        <f>IF(C101="","",IF(D101="","",IF(C101="Beginner",1,IF(C101="Intermediate",2,IF(C101="Advanced",3,4)))-IF(D101="Beginner",1,IF(D101="Intermediate",2,IF(D101="Advanced",3,4)))))</f>
        <v/>
      </c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65">
        <f>IF(N101="","",IF(M101=0,0,MIN(N101/M101,1)))</f>
        <v/>
      </c>
      <c r="Q101" s="48">
        <f>IF(P101="","",REPT("█",ROUND(P101*20,0))&amp;REPT("░",20-ROUND(P101*20,0)))</f>
        <v/>
      </c>
      <c r="R101" s="48" t="n"/>
    </row>
    <row r="102" ht="22" customHeight="1">
      <c r="A102" s="46" t="n"/>
      <c r="B102" s="46" t="n"/>
      <c r="C102" s="46" t="n"/>
      <c r="D102" s="46" t="n"/>
      <c r="E102" s="46" t="n"/>
      <c r="F102" s="46">
        <f>IF(C102="","",IF(D102="","",IF(C102="Beginner",1,IF(C102="Intermediate",2,IF(C102="Advanced",3,4)))-IF(D102="Beginner",1,IF(D102="Intermediate",2,IF(D102="Advanced",3,4)))))</f>
        <v/>
      </c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64">
        <f>IF(N102="","",IF(M102=0,0,MIN(N102/M102,1)))</f>
        <v/>
      </c>
      <c r="Q102" s="46">
        <f>IF(P102="","",REPT("█",ROUND(P102*20,0))&amp;REPT("░",20-ROUND(P102*20,0)))</f>
        <v/>
      </c>
      <c r="R102" s="46" t="n"/>
    </row>
    <row r="103" ht="22" customHeight="1">
      <c r="A103" s="48" t="n"/>
      <c r="B103" s="48" t="n"/>
      <c r="C103" s="48" t="n"/>
      <c r="D103" s="48" t="n"/>
      <c r="E103" s="48" t="n"/>
      <c r="F103" s="48">
        <f>IF(C103="","",IF(D103="","",IF(C103="Beginner",1,IF(C103="Intermediate",2,IF(C103="Advanced",3,4)))-IF(D103="Beginner",1,IF(D103="Intermediate",2,IF(D103="Advanced",3,4)))))</f>
        <v/>
      </c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65">
        <f>IF(N103="","",IF(M103=0,0,MIN(N103/M103,1)))</f>
        <v/>
      </c>
      <c r="Q103" s="48">
        <f>IF(P103="","",REPT("█",ROUND(P103*20,0))&amp;REPT("░",20-ROUND(P103*20,0)))</f>
        <v/>
      </c>
      <c r="R103" s="48" t="n"/>
    </row>
    <row r="104" ht="22" customHeight="1">
      <c r="A104" s="46" t="n"/>
      <c r="B104" s="46" t="n"/>
      <c r="C104" s="46" t="n"/>
      <c r="D104" s="46" t="n"/>
      <c r="E104" s="46" t="n"/>
      <c r="F104" s="46">
        <f>IF(C104="","",IF(D104="","",IF(C104="Beginner",1,IF(C104="Intermediate",2,IF(C104="Advanced",3,4)))-IF(D104="Beginner",1,IF(D104="Intermediate",2,IF(D104="Advanced",3,4)))))</f>
        <v/>
      </c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64">
        <f>IF(N104="","",IF(M104=0,0,MIN(N104/M104,1)))</f>
        <v/>
      </c>
      <c r="Q104" s="46">
        <f>IF(P104="","",REPT("█",ROUND(P104*20,0))&amp;REPT("░",20-ROUND(P104*20,0)))</f>
        <v/>
      </c>
      <c r="R104" s="46" t="n"/>
    </row>
    <row r="105" ht="22" customHeight="1">
      <c r="A105" s="48" t="n"/>
      <c r="B105" s="48" t="n"/>
      <c r="C105" s="48" t="n"/>
      <c r="D105" s="48" t="n"/>
      <c r="E105" s="48" t="n"/>
      <c r="F105" s="48">
        <f>IF(C105="","",IF(D105="","",IF(C105="Beginner",1,IF(C105="Intermediate",2,IF(C105="Advanced",3,4)))-IF(D105="Beginner",1,IF(D105="Intermediate",2,IF(D105="Advanced",3,4)))))</f>
        <v/>
      </c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65">
        <f>IF(N105="","",IF(M105=0,0,MIN(N105/M105,1)))</f>
        <v/>
      </c>
      <c r="Q105" s="48">
        <f>IF(P105="","",REPT("█",ROUND(P105*20,0))&amp;REPT("░",20-ROUND(P105*20,0)))</f>
        <v/>
      </c>
      <c r="R105" s="48" t="n"/>
    </row>
    <row r="106" ht="22" customHeight="1">
      <c r="A106" s="46" t="n"/>
      <c r="B106" s="46" t="n"/>
      <c r="C106" s="46" t="n"/>
      <c r="D106" s="46" t="n"/>
      <c r="E106" s="46" t="n"/>
      <c r="F106" s="46">
        <f>IF(C106="","",IF(D106="","",IF(C106="Beginner",1,IF(C106="Intermediate",2,IF(C106="Advanced",3,4)))-IF(D106="Beginner",1,IF(D106="Intermediate",2,IF(D106="Advanced",3,4)))))</f>
        <v/>
      </c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64">
        <f>IF(N106="","",IF(M106=0,0,MIN(N106/M106,1)))</f>
        <v/>
      </c>
      <c r="Q106" s="46">
        <f>IF(P106="","",REPT("█",ROUND(P106*20,0))&amp;REPT("░",20-ROUND(P106*20,0)))</f>
        <v/>
      </c>
      <c r="R106" s="46" t="n"/>
    </row>
    <row r="107" ht="22" customHeight="1">
      <c r="A107" s="48" t="n"/>
      <c r="B107" s="48" t="n"/>
      <c r="C107" s="48" t="n"/>
      <c r="D107" s="48" t="n"/>
      <c r="E107" s="48" t="n"/>
      <c r="F107" s="48">
        <f>IF(C107="","",IF(D107="","",IF(C107="Beginner",1,IF(C107="Intermediate",2,IF(C107="Advanced",3,4)))-IF(D107="Beginner",1,IF(D107="Intermediate",2,IF(D107="Advanced",3,4)))))</f>
        <v/>
      </c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65">
        <f>IF(N107="","",IF(M107=0,0,MIN(N107/M107,1)))</f>
        <v/>
      </c>
      <c r="Q107" s="48">
        <f>IF(P107="","",REPT("█",ROUND(P107*20,0))&amp;REPT("░",20-ROUND(P107*20,0)))</f>
        <v/>
      </c>
      <c r="R107" s="48" t="n"/>
    </row>
    <row r="108" ht="22" customHeight="1">
      <c r="A108" s="46" t="n"/>
      <c r="B108" s="46" t="n"/>
      <c r="C108" s="46" t="n"/>
      <c r="D108" s="46" t="n"/>
      <c r="E108" s="46" t="n"/>
      <c r="F108" s="46">
        <f>IF(C108="","",IF(D108="","",IF(C108="Beginner",1,IF(C108="Intermediate",2,IF(C108="Advanced",3,4)))-IF(D108="Beginner",1,IF(D108="Intermediate",2,IF(D108="Advanced",3,4)))))</f>
        <v/>
      </c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64">
        <f>IF(N108="","",IF(M108=0,0,MIN(N108/M108,1)))</f>
        <v/>
      </c>
      <c r="Q108" s="46">
        <f>IF(P108="","",REPT("█",ROUND(P108*20,0))&amp;REPT("░",20-ROUND(P108*20,0)))</f>
        <v/>
      </c>
      <c r="R108" s="46" t="n"/>
    </row>
    <row r="109" ht="22" customHeight="1">
      <c r="A109" s="48" t="n"/>
      <c r="B109" s="48" t="n"/>
      <c r="C109" s="48" t="n"/>
      <c r="D109" s="48" t="n"/>
      <c r="E109" s="48" t="n"/>
      <c r="F109" s="48">
        <f>IF(C109="","",IF(D109="","",IF(C109="Beginner",1,IF(C109="Intermediate",2,IF(C109="Advanced",3,4)))-IF(D109="Beginner",1,IF(D109="Intermediate",2,IF(D109="Advanced",3,4)))))</f>
        <v/>
      </c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65">
        <f>IF(N109="","",IF(M109=0,0,MIN(N109/M109,1)))</f>
        <v/>
      </c>
      <c r="Q109" s="48">
        <f>IF(P109="","",REPT("█",ROUND(P109*20,0))&amp;REPT("░",20-ROUND(P109*20,0)))</f>
        <v/>
      </c>
      <c r="R109" s="48" t="n"/>
    </row>
    <row r="110" ht="22" customHeight="1">
      <c r="A110" s="46" t="n"/>
      <c r="B110" s="46" t="n"/>
      <c r="C110" s="46" t="n"/>
      <c r="D110" s="46" t="n"/>
      <c r="E110" s="46" t="n"/>
      <c r="F110" s="46">
        <f>IF(C110="","",IF(D110="","",IF(C110="Beginner",1,IF(C110="Intermediate",2,IF(C110="Advanced",3,4)))-IF(D110="Beginner",1,IF(D110="Intermediate",2,IF(D110="Advanced",3,4)))))</f>
        <v/>
      </c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64">
        <f>IF(N110="","",IF(M110=0,0,MIN(N110/M110,1)))</f>
        <v/>
      </c>
      <c r="Q110" s="46">
        <f>IF(P110="","",REPT("█",ROUND(P110*20,0))&amp;REPT("░",20-ROUND(P110*20,0)))</f>
        <v/>
      </c>
      <c r="R110" s="46" t="n"/>
    </row>
    <row r="111" ht="22" customHeight="1">
      <c r="A111" s="48" t="n"/>
      <c r="B111" s="48" t="n"/>
      <c r="C111" s="48" t="n"/>
      <c r="D111" s="48" t="n"/>
      <c r="E111" s="48" t="n"/>
      <c r="F111" s="48">
        <f>IF(C111="","",IF(D111="","",IF(C111="Beginner",1,IF(C111="Intermediate",2,IF(C111="Advanced",3,4)))-IF(D111="Beginner",1,IF(D111="Intermediate",2,IF(D111="Advanced",3,4)))))</f>
        <v/>
      </c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65">
        <f>IF(N111="","",IF(M111=0,0,MIN(N111/M111,1)))</f>
        <v/>
      </c>
      <c r="Q111" s="48">
        <f>IF(P111="","",REPT("█",ROUND(P111*20,0))&amp;REPT("░",20-ROUND(P111*20,0)))</f>
        <v/>
      </c>
      <c r="R111" s="48" t="n"/>
    </row>
    <row r="112" ht="22" customHeight="1">
      <c r="A112" s="46" t="n"/>
      <c r="B112" s="46" t="n"/>
      <c r="C112" s="46" t="n"/>
      <c r="D112" s="46" t="n"/>
      <c r="E112" s="46" t="n"/>
      <c r="F112" s="46">
        <f>IF(C112="","",IF(D112="","",IF(C112="Beginner",1,IF(C112="Intermediate",2,IF(C112="Advanced",3,4)))-IF(D112="Beginner",1,IF(D112="Intermediate",2,IF(D112="Advanced",3,4)))))</f>
        <v/>
      </c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64">
        <f>IF(N112="","",IF(M112=0,0,MIN(N112/M112,1)))</f>
        <v/>
      </c>
      <c r="Q112" s="46">
        <f>IF(P112="","",REPT("█",ROUND(P112*20,0))&amp;REPT("░",20-ROUND(P112*20,0)))</f>
        <v/>
      </c>
      <c r="R112" s="46" t="n"/>
    </row>
    <row r="113" ht="22" customHeight="1">
      <c r="A113" s="48" t="n"/>
      <c r="B113" s="48" t="n"/>
      <c r="C113" s="48" t="n"/>
      <c r="D113" s="48" t="n"/>
      <c r="E113" s="48" t="n"/>
      <c r="F113" s="48">
        <f>IF(C113="","",IF(D113="","",IF(C113="Beginner",1,IF(C113="Intermediate",2,IF(C113="Advanced",3,4)))-IF(D113="Beginner",1,IF(D113="Intermediate",2,IF(D113="Advanced",3,4)))))</f>
        <v/>
      </c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65">
        <f>IF(N113="","",IF(M113=0,0,MIN(N113/M113,1)))</f>
        <v/>
      </c>
      <c r="Q113" s="48">
        <f>IF(P113="","",REPT("█",ROUND(P113*20,0))&amp;REPT("░",20-ROUND(P113*20,0)))</f>
        <v/>
      </c>
      <c r="R113" s="48" t="n"/>
    </row>
    <row r="114" ht="22" customHeight="1">
      <c r="A114" s="46" t="n"/>
      <c r="B114" s="46" t="n"/>
      <c r="C114" s="46" t="n"/>
      <c r="D114" s="46" t="n"/>
      <c r="E114" s="46" t="n"/>
      <c r="F114" s="46">
        <f>IF(C114="","",IF(D114="","",IF(C114="Beginner",1,IF(C114="Intermediate",2,IF(C114="Advanced",3,4)))-IF(D114="Beginner",1,IF(D114="Intermediate",2,IF(D114="Advanced",3,4)))))</f>
        <v/>
      </c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64">
        <f>IF(N114="","",IF(M114=0,0,MIN(N114/M114,1)))</f>
        <v/>
      </c>
      <c r="Q114" s="46">
        <f>IF(P114="","",REPT("█",ROUND(P114*20,0))&amp;REPT("░",20-ROUND(P114*20,0)))</f>
        <v/>
      </c>
      <c r="R114" s="46" t="n"/>
    </row>
    <row r="115" ht="22" customHeight="1">
      <c r="A115" s="48" t="n"/>
      <c r="B115" s="48" t="n"/>
      <c r="C115" s="48" t="n"/>
      <c r="D115" s="48" t="n"/>
      <c r="E115" s="48" t="n"/>
      <c r="F115" s="48">
        <f>IF(C115="","",IF(D115="","",IF(C115="Beginner",1,IF(C115="Intermediate",2,IF(C115="Advanced",3,4)))-IF(D115="Beginner",1,IF(D115="Intermediate",2,IF(D115="Advanced",3,4)))))</f>
        <v/>
      </c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65">
        <f>IF(N115="","",IF(M115=0,0,MIN(N115/M115,1)))</f>
        <v/>
      </c>
      <c r="Q115" s="48">
        <f>IF(P115="","",REPT("█",ROUND(P115*20,0))&amp;REPT("░",20-ROUND(P115*20,0)))</f>
        <v/>
      </c>
      <c r="R115" s="48" t="n"/>
    </row>
    <row r="116" ht="22" customHeight="1">
      <c r="A116" s="46" t="n"/>
      <c r="B116" s="46" t="n"/>
      <c r="C116" s="46" t="n"/>
      <c r="D116" s="46" t="n"/>
      <c r="E116" s="46" t="n"/>
      <c r="F116" s="46">
        <f>IF(C116="","",IF(D116="","",IF(C116="Beginner",1,IF(C116="Intermediate",2,IF(C116="Advanced",3,4)))-IF(D116="Beginner",1,IF(D116="Intermediate",2,IF(D116="Advanced",3,4)))))</f>
        <v/>
      </c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64">
        <f>IF(N116="","",IF(M116=0,0,MIN(N116/M116,1)))</f>
        <v/>
      </c>
      <c r="Q116" s="46">
        <f>IF(P116="","",REPT("█",ROUND(P116*20,0))&amp;REPT("░",20-ROUND(P116*20,0)))</f>
        <v/>
      </c>
      <c r="R116" s="46" t="n"/>
    </row>
    <row r="117" ht="22" customHeight="1">
      <c r="A117" s="48" t="n"/>
      <c r="B117" s="48" t="n"/>
      <c r="C117" s="48" t="n"/>
      <c r="D117" s="48" t="n"/>
      <c r="E117" s="48" t="n"/>
      <c r="F117" s="48">
        <f>IF(C117="","",IF(D117="","",IF(C117="Beginner",1,IF(C117="Intermediate",2,IF(C117="Advanced",3,4)))-IF(D117="Beginner",1,IF(D117="Intermediate",2,IF(D117="Advanced",3,4)))))</f>
        <v/>
      </c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65">
        <f>IF(N117="","",IF(M117=0,0,MIN(N117/M117,1)))</f>
        <v/>
      </c>
      <c r="Q117" s="48">
        <f>IF(P117="","",REPT("█",ROUND(P117*20,0))&amp;REPT("░",20-ROUND(P117*20,0)))</f>
        <v/>
      </c>
      <c r="R117" s="48" t="n"/>
    </row>
    <row r="118" ht="22" customHeight="1">
      <c r="A118" s="46" t="n"/>
      <c r="B118" s="46" t="n"/>
      <c r="C118" s="46" t="n"/>
      <c r="D118" s="46" t="n"/>
      <c r="E118" s="46" t="n"/>
      <c r="F118" s="46">
        <f>IF(C118="","",IF(D118="","",IF(C118="Beginner",1,IF(C118="Intermediate",2,IF(C118="Advanced",3,4)))-IF(D118="Beginner",1,IF(D118="Intermediate",2,IF(D118="Advanced",3,4)))))</f>
        <v/>
      </c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64">
        <f>IF(N118="","",IF(M118=0,0,MIN(N118/M118,1)))</f>
        <v/>
      </c>
      <c r="Q118" s="46">
        <f>IF(P118="","",REPT("█",ROUND(P118*20,0))&amp;REPT("░",20-ROUND(P118*20,0)))</f>
        <v/>
      </c>
      <c r="R118" s="46" t="n"/>
    </row>
    <row r="119" ht="22" customHeight="1">
      <c r="A119" s="48" t="n"/>
      <c r="B119" s="48" t="n"/>
      <c r="C119" s="48" t="n"/>
      <c r="D119" s="48" t="n"/>
      <c r="E119" s="48" t="n"/>
      <c r="F119" s="48">
        <f>IF(C119="","",IF(D119="","",IF(C119="Beginner",1,IF(C119="Intermediate",2,IF(C119="Advanced",3,4)))-IF(D119="Beginner",1,IF(D119="Intermediate",2,IF(D119="Advanced",3,4)))))</f>
        <v/>
      </c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65">
        <f>IF(N119="","",IF(M119=0,0,MIN(N119/M119,1)))</f>
        <v/>
      </c>
      <c r="Q119" s="48">
        <f>IF(P119="","",REPT("█",ROUND(P119*20,0))&amp;REPT("░",20-ROUND(P119*20,0)))</f>
        <v/>
      </c>
      <c r="R119" s="48" t="n"/>
    </row>
    <row r="120" ht="22" customHeight="1">
      <c r="A120" s="46" t="n"/>
      <c r="B120" s="46" t="n"/>
      <c r="C120" s="46" t="n"/>
      <c r="D120" s="46" t="n"/>
      <c r="E120" s="46" t="n"/>
      <c r="F120" s="46">
        <f>IF(C120="","",IF(D120="","",IF(C120="Beginner",1,IF(C120="Intermediate",2,IF(C120="Advanced",3,4)))-IF(D120="Beginner",1,IF(D120="Intermediate",2,IF(D120="Advanced",3,4)))))</f>
        <v/>
      </c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64">
        <f>IF(N120="","",IF(M120=0,0,MIN(N120/M120,1)))</f>
        <v/>
      </c>
      <c r="Q120" s="46">
        <f>IF(P120="","",REPT("█",ROUND(P120*20,0))&amp;REPT("░",20-ROUND(P120*20,0)))</f>
        <v/>
      </c>
      <c r="R120" s="46" t="n"/>
    </row>
    <row r="121" ht="22" customHeight="1">
      <c r="A121" s="48" t="n"/>
      <c r="B121" s="48" t="n"/>
      <c r="C121" s="48" t="n"/>
      <c r="D121" s="48" t="n"/>
      <c r="E121" s="48" t="n"/>
      <c r="F121" s="48">
        <f>IF(C121="","",IF(D121="","",IF(C121="Beginner",1,IF(C121="Intermediate",2,IF(C121="Advanced",3,4)))-IF(D121="Beginner",1,IF(D121="Intermediate",2,IF(D121="Advanced",3,4)))))</f>
        <v/>
      </c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65">
        <f>IF(N121="","",IF(M121=0,0,MIN(N121/M121,1)))</f>
        <v/>
      </c>
      <c r="Q121" s="48">
        <f>IF(P121="","",REPT("█",ROUND(P121*20,0))&amp;REPT("░",20-ROUND(P121*20,0)))</f>
        <v/>
      </c>
      <c r="R121" s="48" t="n"/>
    </row>
    <row r="122" ht="22" customHeight="1">
      <c r="A122" s="46" t="n"/>
      <c r="B122" s="46" t="n"/>
      <c r="C122" s="46" t="n"/>
      <c r="D122" s="46" t="n"/>
      <c r="E122" s="46" t="n"/>
      <c r="F122" s="46">
        <f>IF(C122="","",IF(D122="","",IF(C122="Beginner",1,IF(C122="Intermediate",2,IF(C122="Advanced",3,4)))-IF(D122="Beginner",1,IF(D122="Intermediate",2,IF(D122="Advanced",3,4)))))</f>
        <v/>
      </c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64">
        <f>IF(N122="","",IF(M122=0,0,MIN(N122/M122,1)))</f>
        <v/>
      </c>
      <c r="Q122" s="46">
        <f>IF(P122="","",REPT("█",ROUND(P122*20,0))&amp;REPT("░",20-ROUND(P122*20,0)))</f>
        <v/>
      </c>
      <c r="R122" s="46" t="n"/>
    </row>
    <row r="123" ht="22" customHeight="1">
      <c r="A123" s="48" t="n"/>
      <c r="B123" s="48" t="n"/>
      <c r="C123" s="48" t="n"/>
      <c r="D123" s="48" t="n"/>
      <c r="E123" s="48" t="n"/>
      <c r="F123" s="48">
        <f>IF(C123="","",IF(D123="","",IF(C123="Beginner",1,IF(C123="Intermediate",2,IF(C123="Advanced",3,4)))-IF(D123="Beginner",1,IF(D123="Intermediate",2,IF(D123="Advanced",3,4)))))</f>
        <v/>
      </c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65">
        <f>IF(N123="","",IF(M123=0,0,MIN(N123/M123,1)))</f>
        <v/>
      </c>
      <c r="Q123" s="48">
        <f>IF(P123="","",REPT("█",ROUND(P123*20,0))&amp;REPT("░",20-ROUND(P123*20,0)))</f>
        <v/>
      </c>
      <c r="R123" s="48" t="n"/>
    </row>
    <row r="124" ht="22" customHeight="1">
      <c r="A124" s="46" t="n"/>
      <c r="B124" s="46" t="n"/>
      <c r="C124" s="46" t="n"/>
      <c r="D124" s="46" t="n"/>
      <c r="E124" s="46" t="n"/>
      <c r="F124" s="46">
        <f>IF(C124="","",IF(D124="","",IF(C124="Beginner",1,IF(C124="Intermediate",2,IF(C124="Advanced",3,4)))-IF(D124="Beginner",1,IF(D124="Intermediate",2,IF(D124="Advanced",3,4)))))</f>
        <v/>
      </c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64">
        <f>IF(N124="","",IF(M124=0,0,MIN(N124/M124,1)))</f>
        <v/>
      </c>
      <c r="Q124" s="46">
        <f>IF(P124="","",REPT("█",ROUND(P124*20,0))&amp;REPT("░",20-ROUND(P124*20,0)))</f>
        <v/>
      </c>
      <c r="R124" s="46" t="n"/>
    </row>
    <row r="125" ht="22" customHeight="1">
      <c r="A125" s="48" t="n"/>
      <c r="B125" s="48" t="n"/>
      <c r="C125" s="48" t="n"/>
      <c r="D125" s="48" t="n"/>
      <c r="E125" s="48" t="n"/>
      <c r="F125" s="48">
        <f>IF(C125="","",IF(D125="","",IF(C125="Beginner",1,IF(C125="Intermediate",2,IF(C125="Advanced",3,4)))-IF(D125="Beginner",1,IF(D125="Intermediate",2,IF(D125="Advanced",3,4)))))</f>
        <v/>
      </c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65">
        <f>IF(N125="","",IF(M125=0,0,MIN(N125/M125,1)))</f>
        <v/>
      </c>
      <c r="Q125" s="48">
        <f>IF(P125="","",REPT("█",ROUND(P125*20,0))&amp;REPT("░",20-ROUND(P125*20,0)))</f>
        <v/>
      </c>
      <c r="R125" s="48" t="n"/>
    </row>
    <row r="126" ht="22" customHeight="1">
      <c r="A126" s="46" t="n"/>
      <c r="B126" s="46" t="n"/>
      <c r="C126" s="46" t="n"/>
      <c r="D126" s="46" t="n"/>
      <c r="E126" s="46" t="n"/>
      <c r="F126" s="46">
        <f>IF(C126="","",IF(D126="","",IF(C126="Beginner",1,IF(C126="Intermediate",2,IF(C126="Advanced",3,4)))-IF(D126="Beginner",1,IF(D126="Intermediate",2,IF(D126="Advanced",3,4)))))</f>
        <v/>
      </c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64">
        <f>IF(N126="","",IF(M126=0,0,MIN(N126/M126,1)))</f>
        <v/>
      </c>
      <c r="Q126" s="46">
        <f>IF(P126="","",REPT("█",ROUND(P126*20,0))&amp;REPT("░",20-ROUND(P126*20,0)))</f>
        <v/>
      </c>
      <c r="R126" s="46" t="n"/>
    </row>
    <row r="127" ht="22" customHeight="1">
      <c r="A127" s="48" t="n"/>
      <c r="B127" s="48" t="n"/>
      <c r="C127" s="48" t="n"/>
      <c r="D127" s="48" t="n"/>
      <c r="E127" s="48" t="n"/>
      <c r="F127" s="48">
        <f>IF(C127="","",IF(D127="","",IF(C127="Beginner",1,IF(C127="Intermediate",2,IF(C127="Advanced",3,4)))-IF(D127="Beginner",1,IF(D127="Intermediate",2,IF(D127="Advanced",3,4)))))</f>
        <v/>
      </c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65">
        <f>IF(N127="","",IF(M127=0,0,MIN(N127/M127,1)))</f>
        <v/>
      </c>
      <c r="Q127" s="48">
        <f>IF(P127="","",REPT("█",ROUND(P127*20,0))&amp;REPT("░",20-ROUND(P127*20,0)))</f>
        <v/>
      </c>
      <c r="R127" s="48" t="n"/>
    </row>
    <row r="128" ht="22" customHeight="1">
      <c r="A128" s="46" t="n"/>
      <c r="B128" s="46" t="n"/>
      <c r="C128" s="46" t="n"/>
      <c r="D128" s="46" t="n"/>
      <c r="E128" s="46" t="n"/>
      <c r="F128" s="46">
        <f>IF(C128="","",IF(D128="","",IF(C128="Beginner",1,IF(C128="Intermediate",2,IF(C128="Advanced",3,4)))-IF(D128="Beginner",1,IF(D128="Intermediate",2,IF(D128="Advanced",3,4)))))</f>
        <v/>
      </c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64">
        <f>IF(N128="","",IF(M128=0,0,MIN(N128/M128,1)))</f>
        <v/>
      </c>
      <c r="Q128" s="46">
        <f>IF(P128="","",REPT("█",ROUND(P128*20,0))&amp;REPT("░",20-ROUND(P128*20,0)))</f>
        <v/>
      </c>
      <c r="R128" s="46" t="n"/>
    </row>
    <row r="129" ht="22" customHeight="1">
      <c r="A129" s="48" t="n"/>
      <c r="B129" s="48" t="n"/>
      <c r="C129" s="48" t="n"/>
      <c r="D129" s="48" t="n"/>
      <c r="E129" s="48" t="n"/>
      <c r="F129" s="48">
        <f>IF(C129="","",IF(D129="","",IF(C129="Beginner",1,IF(C129="Intermediate",2,IF(C129="Advanced",3,4)))-IF(D129="Beginner",1,IF(D129="Intermediate",2,IF(D129="Advanced",3,4)))))</f>
        <v/>
      </c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65">
        <f>IF(N129="","",IF(M129=0,0,MIN(N129/M129,1)))</f>
        <v/>
      </c>
      <c r="Q129" s="48">
        <f>IF(P129="","",REPT("█",ROUND(P129*20,0))&amp;REPT("░",20-ROUND(P129*20,0)))</f>
        <v/>
      </c>
      <c r="R129" s="48" t="n"/>
    </row>
    <row r="130" ht="22" customHeight="1">
      <c r="A130" s="46" t="n"/>
      <c r="B130" s="46" t="n"/>
      <c r="C130" s="46" t="n"/>
      <c r="D130" s="46" t="n"/>
      <c r="E130" s="46" t="n"/>
      <c r="F130" s="46">
        <f>IF(C130="","",IF(D130="","",IF(C130="Beginner",1,IF(C130="Intermediate",2,IF(C130="Advanced",3,4)))-IF(D130="Beginner",1,IF(D130="Intermediate",2,IF(D130="Advanced",3,4)))))</f>
        <v/>
      </c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64">
        <f>IF(N130="","",IF(M130=0,0,MIN(N130/M130,1)))</f>
        <v/>
      </c>
      <c r="Q130" s="46">
        <f>IF(P130="","",REPT("█",ROUND(P130*20,0))&amp;REPT("░",20-ROUND(P130*20,0)))</f>
        <v/>
      </c>
      <c r="R130" s="46" t="n"/>
    </row>
    <row r="131" ht="22" customHeight="1">
      <c r="A131" s="48" t="n"/>
      <c r="B131" s="48" t="n"/>
      <c r="C131" s="48" t="n"/>
      <c r="D131" s="48" t="n"/>
      <c r="E131" s="48" t="n"/>
      <c r="F131" s="48">
        <f>IF(C131="","",IF(D131="","",IF(C131="Beginner",1,IF(C131="Intermediate",2,IF(C131="Advanced",3,4)))-IF(D131="Beginner",1,IF(D131="Intermediate",2,IF(D131="Advanced",3,4)))))</f>
        <v/>
      </c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65">
        <f>IF(N131="","",IF(M131=0,0,MIN(N131/M131,1)))</f>
        <v/>
      </c>
      <c r="Q131" s="48">
        <f>IF(P131="","",REPT("█",ROUND(P131*20,0))&amp;REPT("░",20-ROUND(P131*20,0)))</f>
        <v/>
      </c>
      <c r="R131" s="48" t="n"/>
    </row>
    <row r="132" ht="22" customHeight="1">
      <c r="A132" s="46" t="n"/>
      <c r="B132" s="46" t="n"/>
      <c r="C132" s="46" t="n"/>
      <c r="D132" s="46" t="n"/>
      <c r="E132" s="46" t="n"/>
      <c r="F132" s="46">
        <f>IF(C132="","",IF(D132="","",IF(C132="Beginner",1,IF(C132="Intermediate",2,IF(C132="Advanced",3,4)))-IF(D132="Beginner",1,IF(D132="Intermediate",2,IF(D132="Advanced",3,4)))))</f>
        <v/>
      </c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64">
        <f>IF(N132="","",IF(M132=0,0,MIN(N132/M132,1)))</f>
        <v/>
      </c>
      <c r="Q132" s="46">
        <f>IF(P132="","",REPT("█",ROUND(P132*20,0))&amp;REPT("░",20-ROUND(P132*20,0)))</f>
        <v/>
      </c>
      <c r="R132" s="46" t="n"/>
    </row>
    <row r="133" ht="22" customHeight="1">
      <c r="A133" s="48" t="n"/>
      <c r="B133" s="48" t="n"/>
      <c r="C133" s="48" t="n"/>
      <c r="D133" s="48" t="n"/>
      <c r="E133" s="48" t="n"/>
      <c r="F133" s="48">
        <f>IF(C133="","",IF(D133="","",IF(C133="Beginner",1,IF(C133="Intermediate",2,IF(C133="Advanced",3,4)))-IF(D133="Beginner",1,IF(D133="Intermediate",2,IF(D133="Advanced",3,4)))))</f>
        <v/>
      </c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65">
        <f>IF(N133="","",IF(M133=0,0,MIN(N133/M133,1)))</f>
        <v/>
      </c>
      <c r="Q133" s="48">
        <f>IF(P133="","",REPT("█",ROUND(P133*20,0))&amp;REPT("░",20-ROUND(P133*20,0)))</f>
        <v/>
      </c>
      <c r="R133" s="48" t="n"/>
    </row>
    <row r="134" ht="22" customHeight="1">
      <c r="A134" s="46" t="n"/>
      <c r="B134" s="46" t="n"/>
      <c r="C134" s="46" t="n"/>
      <c r="D134" s="46" t="n"/>
      <c r="E134" s="46" t="n"/>
      <c r="F134" s="46">
        <f>IF(C134="","",IF(D134="","",IF(C134="Beginner",1,IF(C134="Intermediate",2,IF(C134="Advanced",3,4)))-IF(D134="Beginner",1,IF(D134="Intermediate",2,IF(D134="Advanced",3,4)))))</f>
        <v/>
      </c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64">
        <f>IF(N134="","",IF(M134=0,0,MIN(N134/M134,1)))</f>
        <v/>
      </c>
      <c r="Q134" s="46">
        <f>IF(P134="","",REPT("█",ROUND(P134*20,0))&amp;REPT("░",20-ROUND(P134*20,0)))</f>
        <v/>
      </c>
      <c r="R134" s="46" t="n"/>
    </row>
    <row r="135" ht="22" customHeight="1">
      <c r="A135" s="48" t="n"/>
      <c r="B135" s="48" t="n"/>
      <c r="C135" s="48" t="n"/>
      <c r="D135" s="48" t="n"/>
      <c r="E135" s="48" t="n"/>
      <c r="F135" s="48">
        <f>IF(C135="","",IF(D135="","",IF(C135="Beginner",1,IF(C135="Intermediate",2,IF(C135="Advanced",3,4)))-IF(D135="Beginner",1,IF(D135="Intermediate",2,IF(D135="Advanced",3,4)))))</f>
        <v/>
      </c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65">
        <f>IF(N135="","",IF(M135=0,0,MIN(N135/M135,1)))</f>
        <v/>
      </c>
      <c r="Q135" s="48">
        <f>IF(P135="","",REPT("█",ROUND(P135*20,0))&amp;REPT("░",20-ROUND(P135*20,0)))</f>
        <v/>
      </c>
      <c r="R135" s="48" t="n"/>
    </row>
    <row r="136" ht="22" customHeight="1">
      <c r="A136" s="46" t="n"/>
      <c r="B136" s="46" t="n"/>
      <c r="C136" s="46" t="n"/>
      <c r="D136" s="46" t="n"/>
      <c r="E136" s="46" t="n"/>
      <c r="F136" s="46">
        <f>IF(C136="","",IF(D136="","",IF(C136="Beginner",1,IF(C136="Intermediate",2,IF(C136="Advanced",3,4)))-IF(D136="Beginner",1,IF(D136="Intermediate",2,IF(D136="Advanced",3,4)))))</f>
        <v/>
      </c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64">
        <f>IF(N136="","",IF(M136=0,0,MIN(N136/M136,1)))</f>
        <v/>
      </c>
      <c r="Q136" s="46">
        <f>IF(P136="","",REPT("█",ROUND(P136*20,0))&amp;REPT("░",20-ROUND(P136*20,0)))</f>
        <v/>
      </c>
      <c r="R136" s="46" t="n"/>
    </row>
    <row r="137" ht="22" customHeight="1">
      <c r="A137" s="48" t="n"/>
      <c r="B137" s="48" t="n"/>
      <c r="C137" s="48" t="n"/>
      <c r="D137" s="48" t="n"/>
      <c r="E137" s="48" t="n"/>
      <c r="F137" s="48">
        <f>IF(C137="","",IF(D137="","",IF(C137="Beginner",1,IF(C137="Intermediate",2,IF(C137="Advanced",3,4)))-IF(D137="Beginner",1,IF(D137="Intermediate",2,IF(D137="Advanced",3,4)))))</f>
        <v/>
      </c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65">
        <f>IF(N137="","",IF(M137=0,0,MIN(N137/M137,1)))</f>
        <v/>
      </c>
      <c r="Q137" s="48">
        <f>IF(P137="","",REPT("█",ROUND(P137*20,0))&amp;REPT("░",20-ROUND(P137*20,0)))</f>
        <v/>
      </c>
      <c r="R137" s="48" t="n"/>
    </row>
    <row r="138" ht="22" customHeight="1">
      <c r="A138" s="46" t="n"/>
      <c r="B138" s="46" t="n"/>
      <c r="C138" s="46" t="n"/>
      <c r="D138" s="46" t="n"/>
      <c r="E138" s="46" t="n"/>
      <c r="F138" s="46">
        <f>IF(C138="","",IF(D138="","",IF(C138="Beginner",1,IF(C138="Intermediate",2,IF(C138="Advanced",3,4)))-IF(D138="Beginner",1,IF(D138="Intermediate",2,IF(D138="Advanced",3,4)))))</f>
        <v/>
      </c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64">
        <f>IF(N138="","",IF(M138=0,0,MIN(N138/M138,1)))</f>
        <v/>
      </c>
      <c r="Q138" s="46">
        <f>IF(P138="","",REPT("█",ROUND(P138*20,0))&amp;REPT("░",20-ROUND(P138*20,0)))</f>
        <v/>
      </c>
      <c r="R138" s="46" t="n"/>
    </row>
    <row r="139" ht="22" customHeight="1">
      <c r="A139" s="48" t="n"/>
      <c r="B139" s="48" t="n"/>
      <c r="C139" s="48" t="n"/>
      <c r="D139" s="48" t="n"/>
      <c r="E139" s="48" t="n"/>
      <c r="F139" s="48">
        <f>IF(C139="","",IF(D139="","",IF(C139="Beginner",1,IF(C139="Intermediate",2,IF(C139="Advanced",3,4)))-IF(D139="Beginner",1,IF(D139="Intermediate",2,IF(D139="Advanced",3,4)))))</f>
        <v/>
      </c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65">
        <f>IF(N139="","",IF(M139=0,0,MIN(N139/M139,1)))</f>
        <v/>
      </c>
      <c r="Q139" s="48">
        <f>IF(P139="","",REPT("█",ROUND(P139*20,0))&amp;REPT("░",20-ROUND(P139*20,0)))</f>
        <v/>
      </c>
      <c r="R139" s="48" t="n"/>
    </row>
    <row r="140" ht="22" customHeight="1">
      <c r="A140" s="46" t="n"/>
      <c r="B140" s="46" t="n"/>
      <c r="C140" s="46" t="n"/>
      <c r="D140" s="46" t="n"/>
      <c r="E140" s="46" t="n"/>
      <c r="F140" s="46">
        <f>IF(C140="","",IF(D140="","",IF(C140="Beginner",1,IF(C140="Intermediate",2,IF(C140="Advanced",3,4)))-IF(D140="Beginner",1,IF(D140="Intermediate",2,IF(D140="Advanced",3,4)))))</f>
        <v/>
      </c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64">
        <f>IF(N140="","",IF(M140=0,0,MIN(N140/M140,1)))</f>
        <v/>
      </c>
      <c r="Q140" s="46">
        <f>IF(P140="","",REPT("█",ROUND(P140*20,0))&amp;REPT("░",20-ROUND(P140*20,0)))</f>
        <v/>
      </c>
      <c r="R140" s="46" t="n"/>
    </row>
    <row r="141" ht="22" customHeight="1">
      <c r="A141" s="48" t="n"/>
      <c r="B141" s="48" t="n"/>
      <c r="C141" s="48" t="n"/>
      <c r="D141" s="48" t="n"/>
      <c r="E141" s="48" t="n"/>
      <c r="F141" s="48">
        <f>IF(C141="","",IF(D141="","",IF(C141="Beginner",1,IF(C141="Intermediate",2,IF(C141="Advanced",3,4)))-IF(D141="Beginner",1,IF(D141="Intermediate",2,IF(D141="Advanced",3,4)))))</f>
        <v/>
      </c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65">
        <f>IF(N141="","",IF(M141=0,0,MIN(N141/M141,1)))</f>
        <v/>
      </c>
      <c r="Q141" s="48">
        <f>IF(P141="","",REPT("█",ROUND(P141*20,0))&amp;REPT("░",20-ROUND(P141*20,0)))</f>
        <v/>
      </c>
      <c r="R141" s="48" t="n"/>
    </row>
    <row r="142" ht="22" customHeight="1">
      <c r="A142" s="46" t="n"/>
      <c r="B142" s="46" t="n"/>
      <c r="C142" s="46" t="n"/>
      <c r="D142" s="46" t="n"/>
      <c r="E142" s="46" t="n"/>
      <c r="F142" s="46">
        <f>IF(C142="","",IF(D142="","",IF(C142="Beginner",1,IF(C142="Intermediate",2,IF(C142="Advanced",3,4)))-IF(D142="Beginner",1,IF(D142="Intermediate",2,IF(D142="Advanced",3,4)))))</f>
        <v/>
      </c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64">
        <f>IF(N142="","",IF(M142=0,0,MIN(N142/M142,1)))</f>
        <v/>
      </c>
      <c r="Q142" s="46">
        <f>IF(P142="","",REPT("█",ROUND(P142*20,0))&amp;REPT("░",20-ROUND(P142*20,0)))</f>
        <v/>
      </c>
      <c r="R142" s="46" t="n"/>
    </row>
    <row r="143" ht="22" customHeight="1">
      <c r="A143" s="48" t="n"/>
      <c r="B143" s="48" t="n"/>
      <c r="C143" s="48" t="n"/>
      <c r="D143" s="48" t="n"/>
      <c r="E143" s="48" t="n"/>
      <c r="F143" s="48">
        <f>IF(C143="","",IF(D143="","",IF(C143="Beginner",1,IF(C143="Intermediate",2,IF(C143="Advanced",3,4)))-IF(D143="Beginner",1,IF(D143="Intermediate",2,IF(D143="Advanced",3,4)))))</f>
        <v/>
      </c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65">
        <f>IF(N143="","",IF(M143=0,0,MIN(N143/M143,1)))</f>
        <v/>
      </c>
      <c r="Q143" s="48">
        <f>IF(P143="","",REPT("█",ROUND(P143*20,0))&amp;REPT("░",20-ROUND(P143*20,0)))</f>
        <v/>
      </c>
      <c r="R143" s="48" t="n"/>
    </row>
    <row r="144" ht="22" customHeight="1">
      <c r="A144" s="46" t="n"/>
      <c r="B144" s="46" t="n"/>
      <c r="C144" s="46" t="n"/>
      <c r="D144" s="46" t="n"/>
      <c r="E144" s="46" t="n"/>
      <c r="F144" s="46">
        <f>IF(C144="","",IF(D144="","",IF(C144="Beginner",1,IF(C144="Intermediate",2,IF(C144="Advanced",3,4)))-IF(D144="Beginner",1,IF(D144="Intermediate",2,IF(D144="Advanced",3,4)))))</f>
        <v/>
      </c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64">
        <f>IF(N144="","",IF(M144=0,0,MIN(N144/M144,1)))</f>
        <v/>
      </c>
      <c r="Q144" s="46">
        <f>IF(P144="","",REPT("█",ROUND(P144*20,0))&amp;REPT("░",20-ROUND(P144*20,0)))</f>
        <v/>
      </c>
      <c r="R144" s="46" t="n"/>
    </row>
    <row r="145" ht="22" customHeight="1">
      <c r="A145" s="48" t="n"/>
      <c r="B145" s="48" t="n"/>
      <c r="C145" s="48" t="n"/>
      <c r="D145" s="48" t="n"/>
      <c r="E145" s="48" t="n"/>
      <c r="F145" s="48">
        <f>IF(C145="","",IF(D145="","",IF(C145="Beginner",1,IF(C145="Intermediate",2,IF(C145="Advanced",3,4)))-IF(D145="Beginner",1,IF(D145="Intermediate",2,IF(D145="Advanced",3,4)))))</f>
        <v/>
      </c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65">
        <f>IF(N145="","",IF(M145=0,0,MIN(N145/M145,1)))</f>
        <v/>
      </c>
      <c r="Q145" s="48">
        <f>IF(P145="","",REPT("█",ROUND(P145*20,0))&amp;REPT("░",20-ROUND(P145*20,0)))</f>
        <v/>
      </c>
      <c r="R145" s="48" t="n"/>
    </row>
    <row r="146" ht="22" customHeight="1">
      <c r="A146" s="46" t="n"/>
      <c r="B146" s="46" t="n"/>
      <c r="C146" s="46" t="n"/>
      <c r="D146" s="46" t="n"/>
      <c r="E146" s="46" t="n"/>
      <c r="F146" s="46">
        <f>IF(C146="","",IF(D146="","",IF(C146="Beginner",1,IF(C146="Intermediate",2,IF(C146="Advanced",3,4)))-IF(D146="Beginner",1,IF(D146="Intermediate",2,IF(D146="Advanced",3,4)))))</f>
        <v/>
      </c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64">
        <f>IF(N146="","",IF(M146=0,0,MIN(N146/M146,1)))</f>
        <v/>
      </c>
      <c r="Q146" s="46">
        <f>IF(P146="","",REPT("█",ROUND(P146*20,0))&amp;REPT("░",20-ROUND(P146*20,0)))</f>
        <v/>
      </c>
      <c r="R146" s="46" t="n"/>
    </row>
    <row r="147" ht="22" customHeight="1">
      <c r="A147" s="48" t="n"/>
      <c r="B147" s="48" t="n"/>
      <c r="C147" s="48" t="n"/>
      <c r="D147" s="48" t="n"/>
      <c r="E147" s="48" t="n"/>
      <c r="F147" s="48">
        <f>IF(C147="","",IF(D147="","",IF(C147="Beginner",1,IF(C147="Intermediate",2,IF(C147="Advanced",3,4)))-IF(D147="Beginner",1,IF(D147="Intermediate",2,IF(D147="Advanced",3,4)))))</f>
        <v/>
      </c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65">
        <f>IF(N147="","",IF(M147=0,0,MIN(N147/M147,1)))</f>
        <v/>
      </c>
      <c r="Q147" s="48">
        <f>IF(P147="","",REPT("█",ROUND(P147*20,0))&amp;REPT("░",20-ROUND(P147*20,0)))</f>
        <v/>
      </c>
      <c r="R147" s="48" t="n"/>
    </row>
    <row r="148" ht="22" customHeight="1">
      <c r="A148" s="46" t="n"/>
      <c r="B148" s="46" t="n"/>
      <c r="C148" s="46" t="n"/>
      <c r="D148" s="46" t="n"/>
      <c r="E148" s="46" t="n"/>
      <c r="F148" s="46">
        <f>IF(C148="","",IF(D148="","",IF(C148="Beginner",1,IF(C148="Intermediate",2,IF(C148="Advanced",3,4)))-IF(D148="Beginner",1,IF(D148="Intermediate",2,IF(D148="Advanced",3,4)))))</f>
        <v/>
      </c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64">
        <f>IF(N148="","",IF(M148=0,0,MIN(N148/M148,1)))</f>
        <v/>
      </c>
      <c r="Q148" s="46">
        <f>IF(P148="","",REPT("█",ROUND(P148*20,0))&amp;REPT("░",20-ROUND(P148*20,0)))</f>
        <v/>
      </c>
      <c r="R148" s="46" t="n"/>
    </row>
    <row r="149" ht="22" customHeight="1">
      <c r="A149" s="48" t="n"/>
      <c r="B149" s="48" t="n"/>
      <c r="C149" s="48" t="n"/>
      <c r="D149" s="48" t="n"/>
      <c r="E149" s="48" t="n"/>
      <c r="F149" s="48">
        <f>IF(C149="","",IF(D149="","",IF(C149="Beginner",1,IF(C149="Intermediate",2,IF(C149="Advanced",3,4)))-IF(D149="Beginner",1,IF(D149="Intermediate",2,IF(D149="Advanced",3,4)))))</f>
        <v/>
      </c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65">
        <f>IF(N149="","",IF(M149=0,0,MIN(N149/M149,1)))</f>
        <v/>
      </c>
      <c r="Q149" s="48">
        <f>IF(P149="","",REPT("█",ROUND(P149*20,0))&amp;REPT("░",20-ROUND(P149*20,0)))</f>
        <v/>
      </c>
      <c r="R149" s="48" t="n"/>
    </row>
    <row r="150" ht="22" customHeight="1">
      <c r="A150" s="46" t="n"/>
      <c r="B150" s="46" t="n"/>
      <c r="C150" s="46" t="n"/>
      <c r="D150" s="46" t="n"/>
      <c r="E150" s="46" t="n"/>
      <c r="F150" s="46">
        <f>IF(C150="","",IF(D150="","",IF(C150="Beginner",1,IF(C150="Intermediate",2,IF(C150="Advanced",3,4)))-IF(D150="Beginner",1,IF(D150="Intermediate",2,IF(D150="Advanced",3,4)))))</f>
        <v/>
      </c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64">
        <f>IF(N150="","",IF(M150=0,0,MIN(N150/M150,1)))</f>
        <v/>
      </c>
      <c r="Q150" s="46">
        <f>IF(P150="","",REPT("█",ROUND(P150*20,0))&amp;REPT("░",20-ROUND(P150*20,0)))</f>
        <v/>
      </c>
      <c r="R150" s="46" t="n"/>
    </row>
    <row r="151" ht="22" customHeight="1">
      <c r="A151" s="48" t="n"/>
      <c r="B151" s="48" t="n"/>
      <c r="C151" s="48" t="n"/>
      <c r="D151" s="48" t="n"/>
      <c r="E151" s="48" t="n"/>
      <c r="F151" s="48">
        <f>IF(C151="","",IF(D151="","",IF(C151="Beginner",1,IF(C151="Intermediate",2,IF(C151="Advanced",3,4)))-IF(D151="Beginner",1,IF(D151="Intermediate",2,IF(D151="Advanced",3,4)))))</f>
        <v/>
      </c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65">
        <f>IF(N151="","",IF(M151=0,0,MIN(N151/M151,1)))</f>
        <v/>
      </c>
      <c r="Q151" s="48">
        <f>IF(P151="","",REPT("█",ROUND(P151*20,0))&amp;REPT("░",20-ROUND(P151*20,0)))</f>
        <v/>
      </c>
      <c r="R151" s="48" t="n"/>
    </row>
    <row r="152" ht="22" customHeight="1">
      <c r="A152" s="46" t="n"/>
      <c r="B152" s="46" t="n"/>
      <c r="C152" s="46" t="n"/>
      <c r="D152" s="46" t="n"/>
      <c r="E152" s="46" t="n"/>
      <c r="F152" s="46">
        <f>IF(C152="","",IF(D152="","",IF(C152="Beginner",1,IF(C152="Intermediate",2,IF(C152="Advanced",3,4)))-IF(D152="Beginner",1,IF(D152="Intermediate",2,IF(D152="Advanced",3,4)))))</f>
        <v/>
      </c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64">
        <f>IF(N152="","",IF(M152=0,0,MIN(N152/M152,1)))</f>
        <v/>
      </c>
      <c r="Q152" s="46">
        <f>IF(P152="","",REPT("█",ROUND(P152*20,0))&amp;REPT("░",20-ROUND(P152*20,0)))</f>
        <v/>
      </c>
      <c r="R152" s="46" t="n"/>
    </row>
    <row r="153" ht="22" customHeight="1">
      <c r="A153" s="48" t="n"/>
      <c r="B153" s="48" t="n"/>
      <c r="C153" s="48" t="n"/>
      <c r="D153" s="48" t="n"/>
      <c r="E153" s="48" t="n"/>
      <c r="F153" s="48">
        <f>IF(C153="","",IF(D153="","",IF(C153="Beginner",1,IF(C153="Intermediate",2,IF(C153="Advanced",3,4)))-IF(D153="Beginner",1,IF(D153="Intermediate",2,IF(D153="Advanced",3,4)))))</f>
        <v/>
      </c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65">
        <f>IF(N153="","",IF(M153=0,0,MIN(N153/M153,1)))</f>
        <v/>
      </c>
      <c r="Q153" s="48">
        <f>IF(P153="","",REPT("█",ROUND(P153*20,0))&amp;REPT("░",20-ROUND(P153*20,0)))</f>
        <v/>
      </c>
      <c r="R153" s="48" t="n"/>
    </row>
    <row r="154" ht="22" customHeight="1">
      <c r="A154" s="46" t="n"/>
      <c r="B154" s="46" t="n"/>
      <c r="C154" s="46" t="n"/>
      <c r="D154" s="46" t="n"/>
      <c r="E154" s="46" t="n"/>
      <c r="F154" s="46">
        <f>IF(C154="","",IF(D154="","",IF(C154="Beginner",1,IF(C154="Intermediate",2,IF(C154="Advanced",3,4)))-IF(D154="Beginner",1,IF(D154="Intermediate",2,IF(D154="Advanced",3,4)))))</f>
        <v/>
      </c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64">
        <f>IF(N154="","",IF(M154=0,0,MIN(N154/M154,1)))</f>
        <v/>
      </c>
      <c r="Q154" s="46">
        <f>IF(P154="","",REPT("█",ROUND(P154*20,0))&amp;REPT("░",20-ROUND(P154*20,0)))</f>
        <v/>
      </c>
      <c r="R154" s="46" t="n"/>
    </row>
    <row r="155" ht="22" customHeight="1">
      <c r="A155" s="48" t="n"/>
      <c r="B155" s="48" t="n"/>
      <c r="C155" s="48" t="n"/>
      <c r="D155" s="48" t="n"/>
      <c r="E155" s="48" t="n"/>
      <c r="F155" s="48">
        <f>IF(C155="","",IF(D155="","",IF(C155="Beginner",1,IF(C155="Intermediate",2,IF(C155="Advanced",3,4)))-IF(D155="Beginner",1,IF(D155="Intermediate",2,IF(D155="Advanced",3,4)))))</f>
        <v/>
      </c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65">
        <f>IF(N155="","",IF(M155=0,0,MIN(N155/M155,1)))</f>
        <v/>
      </c>
      <c r="Q155" s="48">
        <f>IF(P155="","",REPT("█",ROUND(P155*20,0))&amp;REPT("░",20-ROUND(P155*20,0)))</f>
        <v/>
      </c>
      <c r="R155" s="48" t="n"/>
    </row>
    <row r="156" ht="22" customHeight="1">
      <c r="A156" s="46" t="n"/>
      <c r="B156" s="46" t="n"/>
      <c r="C156" s="46" t="n"/>
      <c r="D156" s="46" t="n"/>
      <c r="E156" s="46" t="n"/>
      <c r="F156" s="46">
        <f>IF(C156="","",IF(D156="","",IF(C156="Beginner",1,IF(C156="Intermediate",2,IF(C156="Advanced",3,4)))-IF(D156="Beginner",1,IF(D156="Intermediate",2,IF(D156="Advanced",3,4)))))</f>
        <v/>
      </c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64">
        <f>IF(N156="","",IF(M156=0,0,MIN(N156/M156,1)))</f>
        <v/>
      </c>
      <c r="Q156" s="46">
        <f>IF(P156="","",REPT("█",ROUND(P156*20,0))&amp;REPT("░",20-ROUND(P156*20,0)))</f>
        <v/>
      </c>
      <c r="R156" s="46" t="n"/>
    </row>
    <row r="157" ht="22" customHeight="1">
      <c r="A157" s="48" t="n"/>
      <c r="B157" s="48" t="n"/>
      <c r="C157" s="48" t="n"/>
      <c r="D157" s="48" t="n"/>
      <c r="E157" s="48" t="n"/>
      <c r="F157" s="48">
        <f>IF(C157="","",IF(D157="","",IF(C157="Beginner",1,IF(C157="Intermediate",2,IF(C157="Advanced",3,4)))-IF(D157="Beginner",1,IF(D157="Intermediate",2,IF(D157="Advanced",3,4)))))</f>
        <v/>
      </c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65">
        <f>IF(N157="","",IF(M157=0,0,MIN(N157/M157,1)))</f>
        <v/>
      </c>
      <c r="Q157" s="48">
        <f>IF(P157="","",REPT("█",ROUND(P157*20,0))&amp;REPT("░",20-ROUND(P157*20,0)))</f>
        <v/>
      </c>
      <c r="R157" s="48" t="n"/>
    </row>
    <row r="158" ht="22" customHeight="1">
      <c r="A158" s="46" t="n"/>
      <c r="B158" s="46" t="n"/>
      <c r="C158" s="46" t="n"/>
      <c r="D158" s="46" t="n"/>
      <c r="E158" s="46" t="n"/>
      <c r="F158" s="46">
        <f>IF(C158="","",IF(D158="","",IF(C158="Beginner",1,IF(C158="Intermediate",2,IF(C158="Advanced",3,4)))-IF(D158="Beginner",1,IF(D158="Intermediate",2,IF(D158="Advanced",3,4)))))</f>
        <v/>
      </c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64">
        <f>IF(N158="","",IF(M158=0,0,MIN(N158/M158,1)))</f>
        <v/>
      </c>
      <c r="Q158" s="46">
        <f>IF(P158="","",REPT("█",ROUND(P158*20,0))&amp;REPT("░",20-ROUND(P158*20,0)))</f>
        <v/>
      </c>
      <c r="R158" s="46" t="n"/>
    </row>
    <row r="159" ht="22" customHeight="1">
      <c r="A159" s="48" t="n"/>
      <c r="B159" s="48" t="n"/>
      <c r="C159" s="48" t="n"/>
      <c r="D159" s="48" t="n"/>
      <c r="E159" s="48" t="n"/>
      <c r="F159" s="48">
        <f>IF(C159="","",IF(D159="","",IF(C159="Beginner",1,IF(C159="Intermediate",2,IF(C159="Advanced",3,4)))-IF(D159="Beginner",1,IF(D159="Intermediate",2,IF(D159="Advanced",3,4)))))</f>
        <v/>
      </c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65">
        <f>IF(N159="","",IF(M159=0,0,MIN(N159/M159,1)))</f>
        <v/>
      </c>
      <c r="Q159" s="48">
        <f>IF(P159="","",REPT("█",ROUND(P159*20,0))&amp;REPT("░",20-ROUND(P159*20,0)))</f>
        <v/>
      </c>
      <c r="R159" s="48" t="n"/>
    </row>
    <row r="160" ht="22" customHeight="1">
      <c r="A160" s="46" t="n"/>
      <c r="B160" s="46" t="n"/>
      <c r="C160" s="46" t="n"/>
      <c r="D160" s="46" t="n"/>
      <c r="E160" s="46" t="n"/>
      <c r="F160" s="46">
        <f>IF(C160="","",IF(D160="","",IF(C160="Beginner",1,IF(C160="Intermediate",2,IF(C160="Advanced",3,4)))-IF(D160="Beginner",1,IF(D160="Intermediate",2,IF(D160="Advanced",3,4)))))</f>
        <v/>
      </c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64">
        <f>IF(N160="","",IF(M160=0,0,MIN(N160/M160,1)))</f>
        <v/>
      </c>
      <c r="Q160" s="46">
        <f>IF(P160="","",REPT("█",ROUND(P160*20,0))&amp;REPT("░",20-ROUND(P160*20,0)))</f>
        <v/>
      </c>
      <c r="R160" s="46" t="n"/>
    </row>
    <row r="161" ht="22" customHeight="1">
      <c r="A161" s="48" t="n"/>
      <c r="B161" s="48" t="n"/>
      <c r="C161" s="48" t="n"/>
      <c r="D161" s="48" t="n"/>
      <c r="E161" s="48" t="n"/>
      <c r="F161" s="48">
        <f>IF(C161="","",IF(D161="","",IF(C161="Beginner",1,IF(C161="Intermediate",2,IF(C161="Advanced",3,4)))-IF(D161="Beginner",1,IF(D161="Intermediate",2,IF(D161="Advanced",3,4)))))</f>
        <v/>
      </c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65">
        <f>IF(N161="","",IF(M161=0,0,MIN(N161/M161,1)))</f>
        <v/>
      </c>
      <c r="Q161" s="48">
        <f>IF(P161="","",REPT("█",ROUND(P161*20,0))&amp;REPT("░",20-ROUND(P161*20,0)))</f>
        <v/>
      </c>
      <c r="R161" s="48" t="n"/>
    </row>
    <row r="162" ht="22" customHeight="1">
      <c r="A162" s="46" t="n"/>
      <c r="B162" s="46" t="n"/>
      <c r="C162" s="46" t="n"/>
      <c r="D162" s="46" t="n"/>
      <c r="E162" s="46" t="n"/>
      <c r="F162" s="46">
        <f>IF(C162="","",IF(D162="","",IF(C162="Beginner",1,IF(C162="Intermediate",2,IF(C162="Advanced",3,4)))-IF(D162="Beginner",1,IF(D162="Intermediate",2,IF(D162="Advanced",3,4)))))</f>
        <v/>
      </c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64">
        <f>IF(N162="","",IF(M162=0,0,MIN(N162/M162,1)))</f>
        <v/>
      </c>
      <c r="Q162" s="46">
        <f>IF(P162="","",REPT("█",ROUND(P162*20,0))&amp;REPT("░",20-ROUND(P162*20,0)))</f>
        <v/>
      </c>
      <c r="R162" s="46" t="n"/>
    </row>
    <row r="163" ht="22" customHeight="1">
      <c r="A163" s="48" t="n"/>
      <c r="B163" s="48" t="n"/>
      <c r="C163" s="48" t="n"/>
      <c r="D163" s="48" t="n"/>
      <c r="E163" s="48" t="n"/>
      <c r="F163" s="48">
        <f>IF(C163="","",IF(D163="","",IF(C163="Beginner",1,IF(C163="Intermediate",2,IF(C163="Advanced",3,4)))-IF(D163="Beginner",1,IF(D163="Intermediate",2,IF(D163="Advanced",3,4)))))</f>
        <v/>
      </c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65">
        <f>IF(N163="","",IF(M163=0,0,MIN(N163/M163,1)))</f>
        <v/>
      </c>
      <c r="Q163" s="48">
        <f>IF(P163="","",REPT("█",ROUND(P163*20,0))&amp;REPT("░",20-ROUND(P163*20,0)))</f>
        <v/>
      </c>
      <c r="R163" s="48" t="n"/>
    </row>
    <row r="164" ht="22" customHeight="1">
      <c r="A164" s="46" t="n"/>
      <c r="B164" s="46" t="n"/>
      <c r="C164" s="46" t="n"/>
      <c r="D164" s="46" t="n"/>
      <c r="E164" s="46" t="n"/>
      <c r="F164" s="46">
        <f>IF(C164="","",IF(D164="","",IF(C164="Beginner",1,IF(C164="Intermediate",2,IF(C164="Advanced",3,4)))-IF(D164="Beginner",1,IF(D164="Intermediate",2,IF(D164="Advanced",3,4)))))</f>
        <v/>
      </c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64">
        <f>IF(N164="","",IF(M164=0,0,MIN(N164/M164,1)))</f>
        <v/>
      </c>
      <c r="Q164" s="46">
        <f>IF(P164="","",REPT("█",ROUND(P164*20,0))&amp;REPT("░",20-ROUND(P164*20,0)))</f>
        <v/>
      </c>
      <c r="R164" s="46" t="n"/>
    </row>
    <row r="165" ht="22" customHeight="1">
      <c r="A165" s="48" t="n"/>
      <c r="B165" s="48" t="n"/>
      <c r="C165" s="48" t="n"/>
      <c r="D165" s="48" t="n"/>
      <c r="E165" s="48" t="n"/>
      <c r="F165" s="48">
        <f>IF(C165="","",IF(D165="","",IF(C165="Beginner",1,IF(C165="Intermediate",2,IF(C165="Advanced",3,4)))-IF(D165="Beginner",1,IF(D165="Intermediate",2,IF(D165="Advanced",3,4)))))</f>
        <v/>
      </c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65">
        <f>IF(N165="","",IF(M165=0,0,MIN(N165/M165,1)))</f>
        <v/>
      </c>
      <c r="Q165" s="48">
        <f>IF(P165="","",REPT("█",ROUND(P165*20,0))&amp;REPT("░",20-ROUND(P165*20,0)))</f>
        <v/>
      </c>
      <c r="R165" s="48" t="n"/>
    </row>
    <row r="166" ht="22" customHeight="1">
      <c r="A166" s="46" t="n"/>
      <c r="B166" s="46" t="n"/>
      <c r="C166" s="46" t="n"/>
      <c r="D166" s="46" t="n"/>
      <c r="E166" s="46" t="n"/>
      <c r="F166" s="46">
        <f>IF(C166="","",IF(D166="","",IF(C166="Beginner",1,IF(C166="Intermediate",2,IF(C166="Advanced",3,4)))-IF(D166="Beginner",1,IF(D166="Intermediate",2,IF(D166="Advanced",3,4)))))</f>
        <v/>
      </c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64">
        <f>IF(N166="","",IF(M166=0,0,MIN(N166/M166,1)))</f>
        <v/>
      </c>
      <c r="Q166" s="46">
        <f>IF(P166="","",REPT("█",ROUND(P166*20,0))&amp;REPT("░",20-ROUND(P166*20,0)))</f>
        <v/>
      </c>
      <c r="R166" s="46" t="n"/>
    </row>
    <row r="167" ht="22" customHeight="1">
      <c r="A167" s="48" t="n"/>
      <c r="B167" s="48" t="n"/>
      <c r="C167" s="48" t="n"/>
      <c r="D167" s="48" t="n"/>
      <c r="E167" s="48" t="n"/>
      <c r="F167" s="48">
        <f>IF(C167="","",IF(D167="","",IF(C167="Beginner",1,IF(C167="Intermediate",2,IF(C167="Advanced",3,4)))-IF(D167="Beginner",1,IF(D167="Intermediate",2,IF(D167="Advanced",3,4)))))</f>
        <v/>
      </c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65">
        <f>IF(N167="","",IF(M167=0,0,MIN(N167/M167,1)))</f>
        <v/>
      </c>
      <c r="Q167" s="48">
        <f>IF(P167="","",REPT("█",ROUND(P167*20,0))&amp;REPT("░",20-ROUND(P167*20,0)))</f>
        <v/>
      </c>
      <c r="R167" s="48" t="n"/>
    </row>
    <row r="168" ht="22" customHeight="1">
      <c r="A168" s="46" t="n"/>
      <c r="B168" s="46" t="n"/>
      <c r="C168" s="46" t="n"/>
      <c r="D168" s="46" t="n"/>
      <c r="E168" s="46" t="n"/>
      <c r="F168" s="46">
        <f>IF(C168="","",IF(D168="","",IF(C168="Beginner",1,IF(C168="Intermediate",2,IF(C168="Advanced",3,4)))-IF(D168="Beginner",1,IF(D168="Intermediate",2,IF(D168="Advanced",3,4)))))</f>
        <v/>
      </c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64">
        <f>IF(N168="","",IF(M168=0,0,MIN(N168/M168,1)))</f>
        <v/>
      </c>
      <c r="Q168" s="46">
        <f>IF(P168="","",REPT("█",ROUND(P168*20,0))&amp;REPT("░",20-ROUND(P168*20,0)))</f>
        <v/>
      </c>
      <c r="R168" s="46" t="n"/>
    </row>
    <row r="169" ht="22" customHeight="1">
      <c r="A169" s="48" t="n"/>
      <c r="B169" s="48" t="n"/>
      <c r="C169" s="48" t="n"/>
      <c r="D169" s="48" t="n"/>
      <c r="E169" s="48" t="n"/>
      <c r="F169" s="48">
        <f>IF(C169="","",IF(D169="","",IF(C169="Beginner",1,IF(C169="Intermediate",2,IF(C169="Advanced",3,4)))-IF(D169="Beginner",1,IF(D169="Intermediate",2,IF(D169="Advanced",3,4)))))</f>
        <v/>
      </c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65">
        <f>IF(N169="","",IF(M169=0,0,MIN(N169/M169,1)))</f>
        <v/>
      </c>
      <c r="Q169" s="48">
        <f>IF(P169="","",REPT("█",ROUND(P169*20,0))&amp;REPT("░",20-ROUND(P169*20,0)))</f>
        <v/>
      </c>
      <c r="R169" s="48" t="n"/>
    </row>
    <row r="170" ht="22" customHeight="1">
      <c r="A170" s="46" t="n"/>
      <c r="B170" s="46" t="n"/>
      <c r="C170" s="46" t="n"/>
      <c r="D170" s="46" t="n"/>
      <c r="E170" s="46" t="n"/>
      <c r="F170" s="46">
        <f>IF(C170="","",IF(D170="","",IF(C170="Beginner",1,IF(C170="Intermediate",2,IF(C170="Advanced",3,4)))-IF(D170="Beginner",1,IF(D170="Intermediate",2,IF(D170="Advanced",3,4)))))</f>
        <v/>
      </c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64">
        <f>IF(N170="","",IF(M170=0,0,MIN(N170/M170,1)))</f>
        <v/>
      </c>
      <c r="Q170" s="46">
        <f>IF(P170="","",REPT("█",ROUND(P170*20,0))&amp;REPT("░",20-ROUND(P170*20,0)))</f>
        <v/>
      </c>
      <c r="R170" s="46" t="n"/>
    </row>
    <row r="171" ht="22" customHeight="1">
      <c r="A171" s="48" t="n"/>
      <c r="B171" s="48" t="n"/>
      <c r="C171" s="48" t="n"/>
      <c r="D171" s="48" t="n"/>
      <c r="E171" s="48" t="n"/>
      <c r="F171" s="48">
        <f>IF(C171="","",IF(D171="","",IF(C171="Beginner",1,IF(C171="Intermediate",2,IF(C171="Advanced",3,4)))-IF(D171="Beginner",1,IF(D171="Intermediate",2,IF(D171="Advanced",3,4)))))</f>
        <v/>
      </c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65">
        <f>IF(N171="","",IF(M171=0,0,MIN(N171/M171,1)))</f>
        <v/>
      </c>
      <c r="Q171" s="48">
        <f>IF(P171="","",REPT("█",ROUND(P171*20,0))&amp;REPT("░",20-ROUND(P171*20,0)))</f>
        <v/>
      </c>
      <c r="R171" s="48" t="n"/>
    </row>
    <row r="172" ht="22" customHeight="1">
      <c r="A172" s="46" t="n"/>
      <c r="B172" s="46" t="n"/>
      <c r="C172" s="46" t="n"/>
      <c r="D172" s="46" t="n"/>
      <c r="E172" s="46" t="n"/>
      <c r="F172" s="46">
        <f>IF(C172="","",IF(D172="","",IF(C172="Beginner",1,IF(C172="Intermediate",2,IF(C172="Advanced",3,4)))-IF(D172="Beginner",1,IF(D172="Intermediate",2,IF(D172="Advanced",3,4)))))</f>
        <v/>
      </c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64">
        <f>IF(N172="","",IF(M172=0,0,MIN(N172/M172,1)))</f>
        <v/>
      </c>
      <c r="Q172" s="46">
        <f>IF(P172="","",REPT("█",ROUND(P172*20,0))&amp;REPT("░",20-ROUND(P172*20,0)))</f>
        <v/>
      </c>
      <c r="R172" s="46" t="n"/>
    </row>
    <row r="173" ht="22" customHeight="1">
      <c r="A173" s="48" t="n"/>
      <c r="B173" s="48" t="n"/>
      <c r="C173" s="48" t="n"/>
      <c r="D173" s="48" t="n"/>
      <c r="E173" s="48" t="n"/>
      <c r="F173" s="48">
        <f>IF(C173="","",IF(D173="","",IF(C173="Beginner",1,IF(C173="Intermediate",2,IF(C173="Advanced",3,4)))-IF(D173="Beginner",1,IF(D173="Intermediate",2,IF(D173="Advanced",3,4)))))</f>
        <v/>
      </c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65">
        <f>IF(N173="","",IF(M173=0,0,MIN(N173/M173,1)))</f>
        <v/>
      </c>
      <c r="Q173" s="48">
        <f>IF(P173="","",REPT("█",ROUND(P173*20,0))&amp;REPT("░",20-ROUND(P173*20,0)))</f>
        <v/>
      </c>
      <c r="R173" s="48" t="n"/>
    </row>
    <row r="174" ht="22" customHeight="1">
      <c r="A174" s="46" t="n"/>
      <c r="B174" s="46" t="n"/>
      <c r="C174" s="46" t="n"/>
      <c r="D174" s="46" t="n"/>
      <c r="E174" s="46" t="n"/>
      <c r="F174" s="46">
        <f>IF(C174="","",IF(D174="","",IF(C174="Beginner",1,IF(C174="Intermediate",2,IF(C174="Advanced",3,4)))-IF(D174="Beginner",1,IF(D174="Intermediate",2,IF(D174="Advanced",3,4)))))</f>
        <v/>
      </c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64">
        <f>IF(N174="","",IF(M174=0,0,MIN(N174/M174,1)))</f>
        <v/>
      </c>
      <c r="Q174" s="46">
        <f>IF(P174="","",REPT("█",ROUND(P174*20,0))&amp;REPT("░",20-ROUND(P174*20,0)))</f>
        <v/>
      </c>
      <c r="R174" s="46" t="n"/>
    </row>
    <row r="175" ht="22" customHeight="1">
      <c r="A175" s="48" t="n"/>
      <c r="B175" s="48" t="n"/>
      <c r="C175" s="48" t="n"/>
      <c r="D175" s="48" t="n"/>
      <c r="E175" s="48" t="n"/>
      <c r="F175" s="48">
        <f>IF(C175="","",IF(D175="","",IF(C175="Beginner",1,IF(C175="Intermediate",2,IF(C175="Advanced",3,4)))-IF(D175="Beginner",1,IF(D175="Intermediate",2,IF(D175="Advanced",3,4)))))</f>
        <v/>
      </c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65">
        <f>IF(N175="","",IF(M175=0,0,MIN(N175/M175,1)))</f>
        <v/>
      </c>
      <c r="Q175" s="48">
        <f>IF(P175="","",REPT("█",ROUND(P175*20,0))&amp;REPT("░",20-ROUND(P175*20,0)))</f>
        <v/>
      </c>
      <c r="R175" s="48" t="n"/>
    </row>
    <row r="176" ht="22" customHeight="1">
      <c r="A176" s="46" t="n"/>
      <c r="B176" s="46" t="n"/>
      <c r="C176" s="46" t="n"/>
      <c r="D176" s="46" t="n"/>
      <c r="E176" s="46" t="n"/>
      <c r="F176" s="46">
        <f>IF(C176="","",IF(D176="","",IF(C176="Beginner",1,IF(C176="Intermediate",2,IF(C176="Advanced",3,4)))-IF(D176="Beginner",1,IF(D176="Intermediate",2,IF(D176="Advanced",3,4)))))</f>
        <v/>
      </c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64">
        <f>IF(N176="","",IF(M176=0,0,MIN(N176/M176,1)))</f>
        <v/>
      </c>
      <c r="Q176" s="46">
        <f>IF(P176="","",REPT("█",ROUND(P176*20,0))&amp;REPT("░",20-ROUND(P176*20,0)))</f>
        <v/>
      </c>
      <c r="R176" s="46" t="n"/>
    </row>
    <row r="177" ht="22" customHeight="1">
      <c r="A177" s="48" t="n"/>
      <c r="B177" s="48" t="n"/>
      <c r="C177" s="48" t="n"/>
      <c r="D177" s="48" t="n"/>
      <c r="E177" s="48" t="n"/>
      <c r="F177" s="48">
        <f>IF(C177="","",IF(D177="","",IF(C177="Beginner",1,IF(C177="Intermediate",2,IF(C177="Advanced",3,4)))-IF(D177="Beginner",1,IF(D177="Intermediate",2,IF(D177="Advanced",3,4)))))</f>
        <v/>
      </c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65">
        <f>IF(N177="","",IF(M177=0,0,MIN(N177/M177,1)))</f>
        <v/>
      </c>
      <c r="Q177" s="48">
        <f>IF(P177="","",REPT("█",ROUND(P177*20,0))&amp;REPT("░",20-ROUND(P177*20,0)))</f>
        <v/>
      </c>
      <c r="R177" s="48" t="n"/>
    </row>
    <row r="178" ht="22" customHeight="1">
      <c r="A178" s="46" t="n"/>
      <c r="B178" s="46" t="n"/>
      <c r="C178" s="46" t="n"/>
      <c r="D178" s="46" t="n"/>
      <c r="E178" s="46" t="n"/>
      <c r="F178" s="46">
        <f>IF(C178="","",IF(D178="","",IF(C178="Beginner",1,IF(C178="Intermediate",2,IF(C178="Advanced",3,4)))-IF(D178="Beginner",1,IF(D178="Intermediate",2,IF(D178="Advanced",3,4)))))</f>
        <v/>
      </c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64">
        <f>IF(N178="","",IF(M178=0,0,MIN(N178/M178,1)))</f>
        <v/>
      </c>
      <c r="Q178" s="46">
        <f>IF(P178="","",REPT("█",ROUND(P178*20,0))&amp;REPT("░",20-ROUND(P178*20,0)))</f>
        <v/>
      </c>
      <c r="R178" s="46" t="n"/>
    </row>
    <row r="179" ht="22" customHeight="1">
      <c r="A179" s="48" t="n"/>
      <c r="B179" s="48" t="n"/>
      <c r="C179" s="48" t="n"/>
      <c r="D179" s="48" t="n"/>
      <c r="E179" s="48" t="n"/>
      <c r="F179" s="48">
        <f>IF(C179="","",IF(D179="","",IF(C179="Beginner",1,IF(C179="Intermediate",2,IF(C179="Advanced",3,4)))-IF(D179="Beginner",1,IF(D179="Intermediate",2,IF(D179="Advanced",3,4)))))</f>
        <v/>
      </c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65">
        <f>IF(N179="","",IF(M179=0,0,MIN(N179/M179,1)))</f>
        <v/>
      </c>
      <c r="Q179" s="48">
        <f>IF(P179="","",REPT("█",ROUND(P179*20,0))&amp;REPT("░",20-ROUND(P179*20,0)))</f>
        <v/>
      </c>
      <c r="R179" s="48" t="n"/>
    </row>
    <row r="180" ht="22" customHeight="1">
      <c r="A180" s="46" t="n"/>
      <c r="B180" s="46" t="n"/>
      <c r="C180" s="46" t="n"/>
      <c r="D180" s="46" t="n"/>
      <c r="E180" s="46" t="n"/>
      <c r="F180" s="46">
        <f>IF(C180="","",IF(D180="","",IF(C180="Beginner",1,IF(C180="Intermediate",2,IF(C180="Advanced",3,4)))-IF(D180="Beginner",1,IF(D180="Intermediate",2,IF(D180="Advanced",3,4)))))</f>
        <v/>
      </c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64">
        <f>IF(N180="","",IF(M180=0,0,MIN(N180/M180,1)))</f>
        <v/>
      </c>
      <c r="Q180" s="46">
        <f>IF(P180="","",REPT("█",ROUND(P180*20,0))&amp;REPT("░",20-ROUND(P180*20,0)))</f>
        <v/>
      </c>
      <c r="R180" s="46" t="n"/>
    </row>
    <row r="181" ht="22" customHeight="1">
      <c r="A181" s="48" t="n"/>
      <c r="B181" s="48" t="n"/>
      <c r="C181" s="48" t="n"/>
      <c r="D181" s="48" t="n"/>
      <c r="E181" s="48" t="n"/>
      <c r="F181" s="48">
        <f>IF(C181="","",IF(D181="","",IF(C181="Beginner",1,IF(C181="Intermediate",2,IF(C181="Advanced",3,4)))-IF(D181="Beginner",1,IF(D181="Intermediate",2,IF(D181="Advanced",3,4)))))</f>
        <v/>
      </c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65">
        <f>IF(N181="","",IF(M181=0,0,MIN(N181/M181,1)))</f>
        <v/>
      </c>
      <c r="Q181" s="48">
        <f>IF(P181="","",REPT("█",ROUND(P181*20,0))&amp;REPT("░",20-ROUND(P181*20,0)))</f>
        <v/>
      </c>
      <c r="R181" s="48" t="n"/>
    </row>
    <row r="182" ht="22" customHeight="1">
      <c r="A182" s="46" t="n"/>
      <c r="B182" s="46" t="n"/>
      <c r="C182" s="46" t="n"/>
      <c r="D182" s="46" t="n"/>
      <c r="E182" s="46" t="n"/>
      <c r="F182" s="46">
        <f>IF(C182="","",IF(D182="","",IF(C182="Beginner",1,IF(C182="Intermediate",2,IF(C182="Advanced",3,4)))-IF(D182="Beginner",1,IF(D182="Intermediate",2,IF(D182="Advanced",3,4)))))</f>
        <v/>
      </c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64">
        <f>IF(N182="","",IF(M182=0,0,MIN(N182/M182,1)))</f>
        <v/>
      </c>
      <c r="Q182" s="46">
        <f>IF(P182="","",REPT("█",ROUND(P182*20,0))&amp;REPT("░",20-ROUND(P182*20,0)))</f>
        <v/>
      </c>
      <c r="R182" s="46" t="n"/>
    </row>
    <row r="183" ht="22" customHeight="1">
      <c r="A183" s="48" t="n"/>
      <c r="B183" s="48" t="n"/>
      <c r="C183" s="48" t="n"/>
      <c r="D183" s="48" t="n"/>
      <c r="E183" s="48" t="n"/>
      <c r="F183" s="48">
        <f>IF(C183="","",IF(D183="","",IF(C183="Beginner",1,IF(C183="Intermediate",2,IF(C183="Advanced",3,4)))-IF(D183="Beginner",1,IF(D183="Intermediate",2,IF(D183="Advanced",3,4)))))</f>
        <v/>
      </c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65">
        <f>IF(N183="","",IF(M183=0,0,MIN(N183/M183,1)))</f>
        <v/>
      </c>
      <c r="Q183" s="48">
        <f>IF(P183="","",REPT("█",ROUND(P183*20,0))&amp;REPT("░",20-ROUND(P183*20,0)))</f>
        <v/>
      </c>
      <c r="R183" s="48" t="n"/>
    </row>
    <row r="184" ht="22" customHeight="1">
      <c r="A184" s="46" t="n"/>
      <c r="B184" s="46" t="n"/>
      <c r="C184" s="46" t="n"/>
      <c r="D184" s="46" t="n"/>
      <c r="E184" s="46" t="n"/>
      <c r="F184" s="46">
        <f>IF(C184="","",IF(D184="","",IF(C184="Beginner",1,IF(C184="Intermediate",2,IF(C184="Advanced",3,4)))-IF(D184="Beginner",1,IF(D184="Intermediate",2,IF(D184="Advanced",3,4)))))</f>
        <v/>
      </c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64">
        <f>IF(N184="","",IF(M184=0,0,MIN(N184/M184,1)))</f>
        <v/>
      </c>
      <c r="Q184" s="46">
        <f>IF(P184="","",REPT("█",ROUND(P184*20,0))&amp;REPT("░",20-ROUND(P184*20,0)))</f>
        <v/>
      </c>
      <c r="R184" s="46" t="n"/>
    </row>
    <row r="185" ht="22" customHeight="1">
      <c r="A185" s="48" t="n"/>
      <c r="B185" s="48" t="n"/>
      <c r="C185" s="48" t="n"/>
      <c r="D185" s="48" t="n"/>
      <c r="E185" s="48" t="n"/>
      <c r="F185" s="48">
        <f>IF(C185="","",IF(D185="","",IF(C185="Beginner",1,IF(C185="Intermediate",2,IF(C185="Advanced",3,4)))-IF(D185="Beginner",1,IF(D185="Intermediate",2,IF(D185="Advanced",3,4)))))</f>
        <v/>
      </c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65">
        <f>IF(N185="","",IF(M185=0,0,MIN(N185/M185,1)))</f>
        <v/>
      </c>
      <c r="Q185" s="48">
        <f>IF(P185="","",REPT("█",ROUND(P185*20,0))&amp;REPT("░",20-ROUND(P185*20,0)))</f>
        <v/>
      </c>
      <c r="R185" s="48" t="n"/>
    </row>
    <row r="186" ht="22" customHeight="1">
      <c r="A186" s="46" t="n"/>
      <c r="B186" s="46" t="n"/>
      <c r="C186" s="46" t="n"/>
      <c r="D186" s="46" t="n"/>
      <c r="E186" s="46" t="n"/>
      <c r="F186" s="46">
        <f>IF(C186="","",IF(D186="","",IF(C186="Beginner",1,IF(C186="Intermediate",2,IF(C186="Advanced",3,4)))-IF(D186="Beginner",1,IF(D186="Intermediate",2,IF(D186="Advanced",3,4)))))</f>
        <v/>
      </c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64">
        <f>IF(N186="","",IF(M186=0,0,MIN(N186/M186,1)))</f>
        <v/>
      </c>
      <c r="Q186" s="46">
        <f>IF(P186="","",REPT("█",ROUND(P186*20,0))&amp;REPT("░",20-ROUND(P186*20,0)))</f>
        <v/>
      </c>
      <c r="R186" s="46" t="n"/>
    </row>
    <row r="187" ht="22" customHeight="1">
      <c r="A187" s="48" t="n"/>
      <c r="B187" s="48" t="n"/>
      <c r="C187" s="48" t="n"/>
      <c r="D187" s="48" t="n"/>
      <c r="E187" s="48" t="n"/>
      <c r="F187" s="48">
        <f>IF(C187="","",IF(D187="","",IF(C187="Beginner",1,IF(C187="Intermediate",2,IF(C187="Advanced",3,4)))-IF(D187="Beginner",1,IF(D187="Intermediate",2,IF(D187="Advanced",3,4)))))</f>
        <v/>
      </c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65">
        <f>IF(N187="","",IF(M187=0,0,MIN(N187/M187,1)))</f>
        <v/>
      </c>
      <c r="Q187" s="48">
        <f>IF(P187="","",REPT("█",ROUND(P187*20,0))&amp;REPT("░",20-ROUND(P187*20,0)))</f>
        <v/>
      </c>
      <c r="R187" s="48" t="n"/>
    </row>
    <row r="188" ht="22" customHeight="1">
      <c r="A188" s="46" t="n"/>
      <c r="B188" s="46" t="n"/>
      <c r="C188" s="46" t="n"/>
      <c r="D188" s="46" t="n"/>
      <c r="E188" s="46" t="n"/>
      <c r="F188" s="46">
        <f>IF(C188="","",IF(D188="","",IF(C188="Beginner",1,IF(C188="Intermediate",2,IF(C188="Advanced",3,4)))-IF(D188="Beginner",1,IF(D188="Intermediate",2,IF(D188="Advanced",3,4)))))</f>
        <v/>
      </c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64">
        <f>IF(N188="","",IF(M188=0,0,MIN(N188/M188,1)))</f>
        <v/>
      </c>
      <c r="Q188" s="46">
        <f>IF(P188="","",REPT("█",ROUND(P188*20,0))&amp;REPT("░",20-ROUND(P188*20,0)))</f>
        <v/>
      </c>
      <c r="R188" s="46" t="n"/>
    </row>
    <row r="189" ht="22" customHeight="1">
      <c r="A189" s="48" t="n"/>
      <c r="B189" s="48" t="n"/>
      <c r="C189" s="48" t="n"/>
      <c r="D189" s="48" t="n"/>
      <c r="E189" s="48" t="n"/>
      <c r="F189" s="48">
        <f>IF(C189="","",IF(D189="","",IF(C189="Beginner",1,IF(C189="Intermediate",2,IF(C189="Advanced",3,4)))-IF(D189="Beginner",1,IF(D189="Intermediate",2,IF(D189="Advanced",3,4)))))</f>
        <v/>
      </c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65">
        <f>IF(N189="","",IF(M189=0,0,MIN(N189/M189,1)))</f>
        <v/>
      </c>
      <c r="Q189" s="48">
        <f>IF(P189="","",REPT("█",ROUND(P189*20,0))&amp;REPT("░",20-ROUND(P189*20,0)))</f>
        <v/>
      </c>
      <c r="R189" s="48" t="n"/>
    </row>
    <row r="190" ht="22" customHeight="1">
      <c r="A190" s="46" t="n"/>
      <c r="B190" s="46" t="n"/>
      <c r="C190" s="46" t="n"/>
      <c r="D190" s="46" t="n"/>
      <c r="E190" s="46" t="n"/>
      <c r="F190" s="46">
        <f>IF(C190="","",IF(D190="","",IF(C190="Beginner",1,IF(C190="Intermediate",2,IF(C190="Advanced",3,4)))-IF(D190="Beginner",1,IF(D190="Intermediate",2,IF(D190="Advanced",3,4)))))</f>
        <v/>
      </c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64">
        <f>IF(N190="","",IF(M190=0,0,MIN(N190/M190,1)))</f>
        <v/>
      </c>
      <c r="Q190" s="46">
        <f>IF(P190="","",REPT("█",ROUND(P190*20,0))&amp;REPT("░",20-ROUND(P190*20,0)))</f>
        <v/>
      </c>
      <c r="R190" s="46" t="n"/>
    </row>
    <row r="191" ht="22" customHeight="1">
      <c r="A191" s="48" t="n"/>
      <c r="B191" s="48" t="n"/>
      <c r="C191" s="48" t="n"/>
      <c r="D191" s="48" t="n"/>
      <c r="E191" s="48" t="n"/>
      <c r="F191" s="48">
        <f>IF(C191="","",IF(D191="","",IF(C191="Beginner",1,IF(C191="Intermediate",2,IF(C191="Advanced",3,4)))-IF(D191="Beginner",1,IF(D191="Intermediate",2,IF(D191="Advanced",3,4)))))</f>
        <v/>
      </c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65">
        <f>IF(N191="","",IF(M191=0,0,MIN(N191/M191,1)))</f>
        <v/>
      </c>
      <c r="Q191" s="48">
        <f>IF(P191="","",REPT("█",ROUND(P191*20,0))&amp;REPT("░",20-ROUND(P191*20,0)))</f>
        <v/>
      </c>
      <c r="R191" s="48" t="n"/>
    </row>
    <row r="192" ht="22" customHeight="1">
      <c r="A192" s="46" t="n"/>
      <c r="B192" s="46" t="n"/>
      <c r="C192" s="46" t="n"/>
      <c r="D192" s="46" t="n"/>
      <c r="E192" s="46" t="n"/>
      <c r="F192" s="46">
        <f>IF(C192="","",IF(D192="","",IF(C192="Beginner",1,IF(C192="Intermediate",2,IF(C192="Advanced",3,4)))-IF(D192="Beginner",1,IF(D192="Intermediate",2,IF(D192="Advanced",3,4)))))</f>
        <v/>
      </c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64">
        <f>IF(N192="","",IF(M192=0,0,MIN(N192/M192,1)))</f>
        <v/>
      </c>
      <c r="Q192" s="46">
        <f>IF(P192="","",REPT("█",ROUND(P192*20,0))&amp;REPT("░",20-ROUND(P192*20,0)))</f>
        <v/>
      </c>
      <c r="R192" s="46" t="n"/>
    </row>
    <row r="193" ht="22" customHeight="1">
      <c r="A193" s="48" t="n"/>
      <c r="B193" s="48" t="n"/>
      <c r="C193" s="48" t="n"/>
      <c r="D193" s="48" t="n"/>
      <c r="E193" s="48" t="n"/>
      <c r="F193" s="48">
        <f>IF(C193="","",IF(D193="","",IF(C193="Beginner",1,IF(C193="Intermediate",2,IF(C193="Advanced",3,4)))-IF(D193="Beginner",1,IF(D193="Intermediate",2,IF(D193="Advanced",3,4)))))</f>
        <v/>
      </c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65">
        <f>IF(N193="","",IF(M193=0,0,MIN(N193/M193,1)))</f>
        <v/>
      </c>
      <c r="Q193" s="48">
        <f>IF(P193="","",REPT("█",ROUND(P193*20,0))&amp;REPT("░",20-ROUND(P193*20,0)))</f>
        <v/>
      </c>
      <c r="R193" s="48" t="n"/>
    </row>
    <row r="194" ht="22" customHeight="1">
      <c r="A194" s="46" t="n"/>
      <c r="B194" s="46" t="n"/>
      <c r="C194" s="46" t="n"/>
      <c r="D194" s="46" t="n"/>
      <c r="E194" s="46" t="n"/>
      <c r="F194" s="46">
        <f>IF(C194="","",IF(D194="","",IF(C194="Beginner",1,IF(C194="Intermediate",2,IF(C194="Advanced",3,4)))-IF(D194="Beginner",1,IF(D194="Intermediate",2,IF(D194="Advanced",3,4)))))</f>
        <v/>
      </c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64">
        <f>IF(N194="","",IF(M194=0,0,MIN(N194/M194,1)))</f>
        <v/>
      </c>
      <c r="Q194" s="46">
        <f>IF(P194="","",REPT("█",ROUND(P194*20,0))&amp;REPT("░",20-ROUND(P194*20,0)))</f>
        <v/>
      </c>
      <c r="R194" s="46" t="n"/>
    </row>
    <row r="195" ht="22" customHeight="1">
      <c r="A195" s="48" t="n"/>
      <c r="B195" s="48" t="n"/>
      <c r="C195" s="48" t="n"/>
      <c r="D195" s="48" t="n"/>
      <c r="E195" s="48" t="n"/>
      <c r="F195" s="48">
        <f>IF(C195="","",IF(D195="","",IF(C195="Beginner",1,IF(C195="Intermediate",2,IF(C195="Advanced",3,4)))-IF(D195="Beginner",1,IF(D195="Intermediate",2,IF(D195="Advanced",3,4)))))</f>
        <v/>
      </c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65">
        <f>IF(N195="","",IF(M195=0,0,MIN(N195/M195,1)))</f>
        <v/>
      </c>
      <c r="Q195" s="48">
        <f>IF(P195="","",REPT("█",ROUND(P195*20,0))&amp;REPT("░",20-ROUND(P195*20,0)))</f>
        <v/>
      </c>
      <c r="R195" s="48" t="n"/>
    </row>
    <row r="196" ht="22" customHeight="1">
      <c r="A196" s="46" t="n"/>
      <c r="B196" s="46" t="n"/>
      <c r="C196" s="46" t="n"/>
      <c r="D196" s="46" t="n"/>
      <c r="E196" s="46" t="n"/>
      <c r="F196" s="46">
        <f>IF(C196="","",IF(D196="","",IF(C196="Beginner",1,IF(C196="Intermediate",2,IF(C196="Advanced",3,4)))-IF(D196="Beginner",1,IF(D196="Intermediate",2,IF(D196="Advanced",3,4)))))</f>
        <v/>
      </c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64">
        <f>IF(N196="","",IF(M196=0,0,MIN(N196/M196,1)))</f>
        <v/>
      </c>
      <c r="Q196" s="46">
        <f>IF(P196="","",REPT("█",ROUND(P196*20,0))&amp;REPT("░",20-ROUND(P196*20,0)))</f>
        <v/>
      </c>
      <c r="R196" s="46" t="n"/>
    </row>
    <row r="197" ht="22" customHeight="1">
      <c r="A197" s="48" t="n"/>
      <c r="B197" s="48" t="n"/>
      <c r="C197" s="48" t="n"/>
      <c r="D197" s="48" t="n"/>
      <c r="E197" s="48" t="n"/>
      <c r="F197" s="48">
        <f>IF(C197="","",IF(D197="","",IF(C197="Beginner",1,IF(C197="Intermediate",2,IF(C197="Advanced",3,4)))-IF(D197="Beginner",1,IF(D197="Intermediate",2,IF(D197="Advanced",3,4)))))</f>
        <v/>
      </c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65">
        <f>IF(N197="","",IF(M197=0,0,MIN(N197/M197,1)))</f>
        <v/>
      </c>
      <c r="Q197" s="48">
        <f>IF(P197="","",REPT("█",ROUND(P197*20,0))&amp;REPT("░",20-ROUND(P197*20,0)))</f>
        <v/>
      </c>
      <c r="R197" s="48" t="n"/>
    </row>
    <row r="198" ht="22" customHeight="1">
      <c r="A198" s="46" t="n"/>
      <c r="B198" s="46" t="n"/>
      <c r="C198" s="46" t="n"/>
      <c r="D198" s="46" t="n"/>
      <c r="E198" s="46" t="n"/>
      <c r="F198" s="46">
        <f>IF(C198="","",IF(D198="","",IF(C198="Beginner",1,IF(C198="Intermediate",2,IF(C198="Advanced",3,4)))-IF(D198="Beginner",1,IF(D198="Intermediate",2,IF(D198="Advanced",3,4)))))</f>
        <v/>
      </c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64">
        <f>IF(N198="","",IF(M198=0,0,MIN(N198/M198,1)))</f>
        <v/>
      </c>
      <c r="Q198" s="46">
        <f>IF(P198="","",REPT("█",ROUND(P198*20,0))&amp;REPT("░",20-ROUND(P198*20,0)))</f>
        <v/>
      </c>
      <c r="R198" s="46" t="n"/>
    </row>
    <row r="199" ht="22" customHeight="1">
      <c r="A199" s="48" t="n"/>
      <c r="B199" s="48" t="n"/>
      <c r="C199" s="48" t="n"/>
      <c r="D199" s="48" t="n"/>
      <c r="E199" s="48" t="n"/>
      <c r="F199" s="48">
        <f>IF(C199="","",IF(D199="","",IF(C199="Beginner",1,IF(C199="Intermediate",2,IF(C199="Advanced",3,4)))-IF(D199="Beginner",1,IF(D199="Intermediate",2,IF(D199="Advanced",3,4)))))</f>
        <v/>
      </c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65">
        <f>IF(N199="","",IF(M199=0,0,MIN(N199/M199,1)))</f>
        <v/>
      </c>
      <c r="Q199" s="48">
        <f>IF(P199="","",REPT("█",ROUND(P199*20,0))&amp;REPT("░",20-ROUND(P199*20,0)))</f>
        <v/>
      </c>
      <c r="R199" s="48" t="n"/>
    </row>
    <row r="200" ht="22" customHeight="1">
      <c r="A200" s="46" t="n"/>
      <c r="B200" s="46" t="n"/>
      <c r="C200" s="46" t="n"/>
      <c r="D200" s="46" t="n"/>
      <c r="E200" s="46" t="n"/>
      <c r="F200" s="46">
        <f>IF(C200="","",IF(D200="","",IF(C200="Beginner",1,IF(C200="Intermediate",2,IF(C200="Advanced",3,4)))-IF(D200="Beginner",1,IF(D200="Intermediate",2,IF(D200="Advanced",3,4)))))</f>
        <v/>
      </c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64">
        <f>IF(N200="","",IF(M200=0,0,MIN(N200/M200,1)))</f>
        <v/>
      </c>
      <c r="Q200" s="46">
        <f>IF(P200="","",REPT("█",ROUND(P200*20,0))&amp;REPT("░",20-ROUND(P200*20,0)))</f>
        <v/>
      </c>
      <c r="R200" s="46" t="n"/>
    </row>
    <row r="201" ht="22" customHeight="1">
      <c r="A201" s="48" t="n"/>
      <c r="B201" s="48" t="n"/>
      <c r="C201" s="48" t="n"/>
      <c r="D201" s="48" t="n"/>
      <c r="E201" s="48" t="n"/>
      <c r="F201" s="48">
        <f>IF(C201="","",IF(D201="","",IF(C201="Beginner",1,IF(C201="Intermediate",2,IF(C201="Advanced",3,4)))-IF(D201="Beginner",1,IF(D201="Intermediate",2,IF(D201="Advanced",3,4)))))</f>
        <v/>
      </c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65">
        <f>IF(N201="","",IF(M201=0,0,MIN(N201/M201,1)))</f>
        <v/>
      </c>
      <c r="Q201" s="48">
        <f>IF(P201="","",REPT("█",ROUND(P201*20,0))&amp;REPT("░",20-ROUND(P201*20,0)))</f>
        <v/>
      </c>
      <c r="R201" s="48" t="n"/>
    </row>
    <row r="202" ht="22" customHeight="1">
      <c r="A202" s="46" t="n"/>
      <c r="B202" s="46" t="n"/>
      <c r="C202" s="46" t="n"/>
      <c r="D202" s="46" t="n"/>
      <c r="E202" s="46" t="n"/>
      <c r="F202" s="46">
        <f>IF(C202="","",IF(D202="","",IF(C202="Beginner",1,IF(C202="Intermediate",2,IF(C202="Advanced",3,4)))-IF(D202="Beginner",1,IF(D202="Intermediate",2,IF(D202="Advanced",3,4)))))</f>
        <v/>
      </c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64">
        <f>IF(N202="","",IF(M202=0,0,MIN(N202/M202,1)))</f>
        <v/>
      </c>
      <c r="Q202" s="46">
        <f>IF(P202="","",REPT("█",ROUND(P202*20,0))&amp;REPT("░",20-ROUND(P202*20,0)))</f>
        <v/>
      </c>
      <c r="R202" s="46" t="n"/>
    </row>
    <row r="203" ht="22" customHeight="1">
      <c r="A203" s="48" t="n"/>
      <c r="B203" s="48" t="n"/>
      <c r="C203" s="48" t="n"/>
      <c r="D203" s="48" t="n"/>
      <c r="E203" s="48" t="n"/>
      <c r="F203" s="48">
        <f>IF(C203="","",IF(D203="","",IF(C203="Beginner",1,IF(C203="Intermediate",2,IF(C203="Advanced",3,4)))-IF(D203="Beginner",1,IF(D203="Intermediate",2,IF(D203="Advanced",3,4)))))</f>
        <v/>
      </c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65">
        <f>IF(N203="","",IF(M203=0,0,MIN(N203/M203,1)))</f>
        <v/>
      </c>
      <c r="Q203" s="48">
        <f>IF(P203="","",REPT("█",ROUND(P203*20,0))&amp;REPT("░",20-ROUND(P203*20,0)))</f>
        <v/>
      </c>
      <c r="R203" s="48" t="n"/>
    </row>
    <row r="204" ht="22" customHeight="1">
      <c r="A204" s="46" t="n"/>
      <c r="B204" s="46" t="n"/>
      <c r="C204" s="46" t="n"/>
      <c r="D204" s="46" t="n"/>
      <c r="E204" s="46" t="n"/>
      <c r="F204" s="46">
        <f>IF(C204="","",IF(D204="","",IF(C204="Beginner",1,IF(C204="Intermediate",2,IF(C204="Advanced",3,4)))-IF(D204="Beginner",1,IF(D204="Intermediate",2,IF(D204="Advanced",3,4)))))</f>
        <v/>
      </c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64">
        <f>IF(N204="","",IF(M204=0,0,MIN(N204/M204,1)))</f>
        <v/>
      </c>
      <c r="Q204" s="46">
        <f>IF(P204="","",REPT("█",ROUND(P204*20,0))&amp;REPT("░",20-ROUND(P204*20,0)))</f>
        <v/>
      </c>
      <c r="R204" s="46" t="n"/>
    </row>
    <row r="205" ht="22" customHeight="1">
      <c r="A205" s="48" t="n"/>
      <c r="B205" s="48" t="n"/>
      <c r="C205" s="48" t="n"/>
      <c r="D205" s="48" t="n"/>
      <c r="E205" s="48" t="n"/>
      <c r="F205" s="48">
        <f>IF(C205="","",IF(D205="","",IF(C205="Beginner",1,IF(C205="Intermediate",2,IF(C205="Advanced",3,4)))-IF(D205="Beginner",1,IF(D205="Intermediate",2,IF(D205="Advanced",3,4)))))</f>
        <v/>
      </c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65">
        <f>IF(N205="","",IF(M205=0,0,MIN(N205/M205,1)))</f>
        <v/>
      </c>
      <c r="Q205" s="48">
        <f>IF(P205="","",REPT("█",ROUND(P205*20,0))&amp;REPT("░",20-ROUND(P205*20,0)))</f>
        <v/>
      </c>
      <c r="R205" s="48" t="n"/>
    </row>
    <row r="206" ht="22" customHeight="1">
      <c r="A206" s="46" t="n"/>
      <c r="B206" s="46" t="n"/>
      <c r="C206" s="46" t="n"/>
      <c r="D206" s="46" t="n"/>
      <c r="E206" s="46" t="n"/>
      <c r="F206" s="46">
        <f>IF(C206="","",IF(D206="","",IF(C206="Beginner",1,IF(C206="Intermediate",2,IF(C206="Advanced",3,4)))-IF(D206="Beginner",1,IF(D206="Intermediate",2,IF(D206="Advanced",3,4)))))</f>
        <v/>
      </c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64">
        <f>IF(N206="","",IF(M206=0,0,MIN(N206/M206,1)))</f>
        <v/>
      </c>
      <c r="Q206" s="46">
        <f>IF(P206="","",REPT("█",ROUND(P206*20,0))&amp;REPT("░",20-ROUND(P206*20,0)))</f>
        <v/>
      </c>
      <c r="R206" s="46" t="n"/>
    </row>
    <row r="207" ht="22" customHeight="1">
      <c r="A207" s="48" t="n"/>
      <c r="B207" s="48" t="n"/>
      <c r="C207" s="48" t="n"/>
      <c r="D207" s="48" t="n"/>
      <c r="E207" s="48" t="n"/>
      <c r="F207" s="48">
        <f>IF(C207="","",IF(D207="","",IF(C207="Beginner",1,IF(C207="Intermediate",2,IF(C207="Advanced",3,4)))-IF(D207="Beginner",1,IF(D207="Intermediate",2,IF(D207="Advanced",3,4)))))</f>
        <v/>
      </c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65">
        <f>IF(N207="","",IF(M207=0,0,MIN(N207/M207,1)))</f>
        <v/>
      </c>
      <c r="Q207" s="48">
        <f>IF(P207="","",REPT("█",ROUND(P207*20,0))&amp;REPT("░",20-ROUND(P207*20,0)))</f>
        <v/>
      </c>
      <c r="R207" s="48" t="n"/>
    </row>
    <row r="208" ht="22" customHeight="1">
      <c r="A208" s="46" t="n"/>
      <c r="B208" s="46" t="n"/>
      <c r="C208" s="46" t="n"/>
      <c r="D208" s="46" t="n"/>
      <c r="E208" s="46" t="n"/>
      <c r="F208" s="46">
        <f>IF(C208="","",IF(D208="","",IF(C208="Beginner",1,IF(C208="Intermediate",2,IF(C208="Advanced",3,4)))-IF(D208="Beginner",1,IF(D208="Intermediate",2,IF(D208="Advanced",3,4)))))</f>
        <v/>
      </c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64">
        <f>IF(N208="","",IF(M208=0,0,MIN(N208/M208,1)))</f>
        <v/>
      </c>
      <c r="Q208" s="46">
        <f>IF(P208="","",REPT("█",ROUND(P208*20,0))&amp;REPT("░",20-ROUND(P208*20,0)))</f>
        <v/>
      </c>
      <c r="R208" s="46" t="n"/>
    </row>
    <row r="209" ht="22" customHeight="1">
      <c r="A209" s="48" t="n"/>
      <c r="B209" s="48" t="n"/>
      <c r="C209" s="48" t="n"/>
      <c r="D209" s="48" t="n"/>
      <c r="E209" s="48" t="n"/>
      <c r="F209" s="48">
        <f>IF(C209="","",IF(D209="","",IF(C209="Beginner",1,IF(C209="Intermediate",2,IF(C209="Advanced",3,4)))-IF(D209="Beginner",1,IF(D209="Intermediate",2,IF(D209="Advanced",3,4)))))</f>
        <v/>
      </c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65">
        <f>IF(N209="","",IF(M209=0,0,MIN(N209/M209,1)))</f>
        <v/>
      </c>
      <c r="Q209" s="48">
        <f>IF(P209="","",REPT("█",ROUND(P209*20,0))&amp;REPT("░",20-ROUND(P209*20,0)))</f>
        <v/>
      </c>
      <c r="R209" s="48" t="n"/>
    </row>
    <row r="210" ht="22" customHeight="1">
      <c r="A210" s="46" t="n"/>
      <c r="B210" s="46" t="n"/>
      <c r="C210" s="46" t="n"/>
      <c r="D210" s="46" t="n"/>
      <c r="E210" s="46" t="n"/>
      <c r="F210" s="46">
        <f>IF(C210="","",IF(D210="","",IF(C210="Beginner",1,IF(C210="Intermediate",2,IF(C210="Advanced",3,4)))-IF(D210="Beginner",1,IF(D210="Intermediate",2,IF(D210="Advanced",3,4)))))</f>
        <v/>
      </c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64">
        <f>IF(N210="","",IF(M210=0,0,MIN(N210/M210,1)))</f>
        <v/>
      </c>
      <c r="Q210" s="46">
        <f>IF(P210="","",REPT("█",ROUND(P210*20,0))&amp;REPT("░",20-ROUND(P210*20,0)))</f>
        <v/>
      </c>
      <c r="R210" s="46" t="n"/>
    </row>
    <row r="211" ht="22" customHeight="1">
      <c r="A211" s="48" t="n"/>
      <c r="B211" s="48" t="n"/>
      <c r="C211" s="48" t="n"/>
      <c r="D211" s="48" t="n"/>
      <c r="E211" s="48" t="n"/>
      <c r="F211" s="48">
        <f>IF(C211="","",IF(D211="","",IF(C211="Beginner",1,IF(C211="Intermediate",2,IF(C211="Advanced",3,4)))-IF(D211="Beginner",1,IF(D211="Intermediate",2,IF(D211="Advanced",3,4)))))</f>
        <v/>
      </c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65">
        <f>IF(N211="","",IF(M211=0,0,MIN(N211/M211,1)))</f>
        <v/>
      </c>
      <c r="Q211" s="48">
        <f>IF(P211="","",REPT("█",ROUND(P211*20,0))&amp;REPT("░",20-ROUND(P211*20,0)))</f>
        <v/>
      </c>
      <c r="R211" s="48" t="n"/>
    </row>
    <row r="212" ht="22" customHeight="1">
      <c r="A212" s="46" t="n"/>
      <c r="B212" s="46" t="n"/>
      <c r="C212" s="46" t="n"/>
      <c r="D212" s="46" t="n"/>
      <c r="E212" s="46" t="n"/>
      <c r="F212" s="46">
        <f>IF(C212="","",IF(D212="","",IF(C212="Beginner",1,IF(C212="Intermediate",2,IF(C212="Advanced",3,4)))-IF(D212="Beginner",1,IF(D212="Intermediate",2,IF(D212="Advanced",3,4)))))</f>
        <v/>
      </c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64">
        <f>IF(N212="","",IF(M212=0,0,MIN(N212/M212,1)))</f>
        <v/>
      </c>
      <c r="Q212" s="46">
        <f>IF(P212="","",REPT("█",ROUND(P212*20,0))&amp;REPT("░",20-ROUND(P212*20,0)))</f>
        <v/>
      </c>
      <c r="R212" s="46" t="n"/>
    </row>
    <row r="213" ht="22" customHeight="1">
      <c r="A213" s="48" t="n"/>
      <c r="B213" s="48" t="n"/>
      <c r="C213" s="48" t="n"/>
      <c r="D213" s="48" t="n"/>
      <c r="E213" s="48" t="n"/>
      <c r="F213" s="48">
        <f>IF(C213="","",IF(D213="","",IF(C213="Beginner",1,IF(C213="Intermediate",2,IF(C213="Advanced",3,4)))-IF(D213="Beginner",1,IF(D213="Intermediate",2,IF(D213="Advanced",3,4)))))</f>
        <v/>
      </c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65">
        <f>IF(N213="","",IF(M213=0,0,MIN(N213/M213,1)))</f>
        <v/>
      </c>
      <c r="Q213" s="48">
        <f>IF(P213="","",REPT("█",ROUND(P213*20,0))&amp;REPT("░",20-ROUND(P213*20,0)))</f>
        <v/>
      </c>
      <c r="R213" s="48" t="n"/>
    </row>
    <row r="214" ht="22" customHeight="1">
      <c r="A214" s="46" t="n"/>
      <c r="B214" s="46" t="n"/>
      <c r="C214" s="46" t="n"/>
      <c r="D214" s="46" t="n"/>
      <c r="E214" s="46" t="n"/>
      <c r="F214" s="46">
        <f>IF(C214="","",IF(D214="","",IF(C214="Beginner",1,IF(C214="Intermediate",2,IF(C214="Advanced",3,4)))-IF(D214="Beginner",1,IF(D214="Intermediate",2,IF(D214="Advanced",3,4)))))</f>
        <v/>
      </c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64">
        <f>IF(N214="","",IF(M214=0,0,MIN(N214/M214,1)))</f>
        <v/>
      </c>
      <c r="Q214" s="46">
        <f>IF(P214="","",REPT("█",ROUND(P214*20,0))&amp;REPT("░",20-ROUND(P214*20,0)))</f>
        <v/>
      </c>
      <c r="R214" s="46" t="n"/>
    </row>
    <row r="215" ht="22" customHeight="1">
      <c r="A215" s="48" t="n"/>
      <c r="B215" s="48" t="n"/>
      <c r="C215" s="48" t="n"/>
      <c r="D215" s="48" t="n"/>
      <c r="E215" s="48" t="n"/>
      <c r="F215" s="48">
        <f>IF(C215="","",IF(D215="","",IF(C215="Beginner",1,IF(C215="Intermediate",2,IF(C215="Advanced",3,4)))-IF(D215="Beginner",1,IF(D215="Intermediate",2,IF(D215="Advanced",3,4)))))</f>
        <v/>
      </c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65">
        <f>IF(N215="","",IF(M215=0,0,MIN(N215/M215,1)))</f>
        <v/>
      </c>
      <c r="Q215" s="48">
        <f>IF(P215="","",REPT("█",ROUND(P215*20,0))&amp;REPT("░",20-ROUND(P215*20,0)))</f>
        <v/>
      </c>
      <c r="R215" s="48" t="n"/>
    </row>
    <row r="216" ht="22" customHeight="1">
      <c r="A216" s="46" t="n"/>
      <c r="B216" s="46" t="n"/>
      <c r="C216" s="46" t="n"/>
      <c r="D216" s="46" t="n"/>
      <c r="E216" s="46" t="n"/>
      <c r="F216" s="46">
        <f>IF(C216="","",IF(D216="","",IF(C216="Beginner",1,IF(C216="Intermediate",2,IF(C216="Advanced",3,4)))-IF(D216="Beginner",1,IF(D216="Intermediate",2,IF(D216="Advanced",3,4)))))</f>
        <v/>
      </c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64">
        <f>IF(N216="","",IF(M216=0,0,MIN(N216/M216,1)))</f>
        <v/>
      </c>
      <c r="Q216" s="46">
        <f>IF(P216="","",REPT("█",ROUND(P216*20,0))&amp;REPT("░",20-ROUND(P216*20,0)))</f>
        <v/>
      </c>
      <c r="R216" s="46" t="n"/>
    </row>
    <row r="217" ht="22" customHeight="1">
      <c r="A217" s="48" t="n"/>
      <c r="B217" s="48" t="n"/>
      <c r="C217" s="48" t="n"/>
      <c r="D217" s="48" t="n"/>
      <c r="E217" s="48" t="n"/>
      <c r="F217" s="48">
        <f>IF(C217="","",IF(D217="","",IF(C217="Beginner",1,IF(C217="Intermediate",2,IF(C217="Advanced",3,4)))-IF(D217="Beginner",1,IF(D217="Intermediate",2,IF(D217="Advanced",3,4)))))</f>
        <v/>
      </c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65">
        <f>IF(N217="","",IF(M217=0,0,MIN(N217/M217,1)))</f>
        <v/>
      </c>
      <c r="Q217" s="48">
        <f>IF(P217="","",REPT("█",ROUND(P217*20,0))&amp;REPT("░",20-ROUND(P217*20,0)))</f>
        <v/>
      </c>
      <c r="R217" s="48" t="n"/>
    </row>
    <row r="218" ht="22" customHeight="1">
      <c r="A218" s="46" t="n"/>
      <c r="B218" s="46" t="n"/>
      <c r="C218" s="46" t="n"/>
      <c r="D218" s="46" t="n"/>
      <c r="E218" s="46" t="n"/>
      <c r="F218" s="46">
        <f>IF(C218="","",IF(D218="","",IF(C218="Beginner",1,IF(C218="Intermediate",2,IF(C218="Advanced",3,4)))-IF(D218="Beginner",1,IF(D218="Intermediate",2,IF(D218="Advanced",3,4)))))</f>
        <v/>
      </c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64">
        <f>IF(N218="","",IF(M218=0,0,MIN(N218/M218,1)))</f>
        <v/>
      </c>
      <c r="Q218" s="46">
        <f>IF(P218="","",REPT("█",ROUND(P218*20,0))&amp;REPT("░",20-ROUND(P218*20,0)))</f>
        <v/>
      </c>
      <c r="R218" s="46" t="n"/>
    </row>
    <row r="219" ht="22" customHeight="1">
      <c r="A219" s="48" t="n"/>
      <c r="B219" s="48" t="n"/>
      <c r="C219" s="48" t="n"/>
      <c r="D219" s="48" t="n"/>
      <c r="E219" s="48" t="n"/>
      <c r="F219" s="48">
        <f>IF(C219="","",IF(D219="","",IF(C219="Beginner",1,IF(C219="Intermediate",2,IF(C219="Advanced",3,4)))-IF(D219="Beginner",1,IF(D219="Intermediate",2,IF(D219="Advanced",3,4)))))</f>
        <v/>
      </c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65">
        <f>IF(N219="","",IF(M219=0,0,MIN(N219/M219,1)))</f>
        <v/>
      </c>
      <c r="Q219" s="48">
        <f>IF(P219="","",REPT("█",ROUND(P219*20,0))&amp;REPT("░",20-ROUND(P219*20,0)))</f>
        <v/>
      </c>
      <c r="R219" s="48" t="n"/>
    </row>
    <row r="220" ht="22" customHeight="1">
      <c r="A220" s="46" t="n"/>
      <c r="B220" s="46" t="n"/>
      <c r="C220" s="46" t="n"/>
      <c r="D220" s="46" t="n"/>
      <c r="E220" s="46" t="n"/>
      <c r="F220" s="46">
        <f>IF(C220="","",IF(D220="","",IF(C220="Beginner",1,IF(C220="Intermediate",2,IF(C220="Advanced",3,4)))-IF(D220="Beginner",1,IF(D220="Intermediate",2,IF(D220="Advanced",3,4)))))</f>
        <v/>
      </c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64">
        <f>IF(N220="","",IF(M220=0,0,MIN(N220/M220,1)))</f>
        <v/>
      </c>
      <c r="Q220" s="46">
        <f>IF(P220="","",REPT("█",ROUND(P220*20,0))&amp;REPT("░",20-ROUND(P220*20,0)))</f>
        <v/>
      </c>
      <c r="R220" s="46" t="n"/>
    </row>
    <row r="221" ht="22" customHeight="1">
      <c r="A221" s="48" t="n"/>
      <c r="B221" s="48" t="n"/>
      <c r="C221" s="48" t="n"/>
      <c r="D221" s="48" t="n"/>
      <c r="E221" s="48" t="n"/>
      <c r="F221" s="48">
        <f>IF(C221="","",IF(D221="","",IF(C221="Beginner",1,IF(C221="Intermediate",2,IF(C221="Advanced",3,4)))-IF(D221="Beginner",1,IF(D221="Intermediate",2,IF(D221="Advanced",3,4)))))</f>
        <v/>
      </c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65">
        <f>IF(N221="","",IF(M221=0,0,MIN(N221/M221,1)))</f>
        <v/>
      </c>
      <c r="Q221" s="48">
        <f>IF(P221="","",REPT("█",ROUND(P221*20,0))&amp;REPT("░",20-ROUND(P221*20,0)))</f>
        <v/>
      </c>
      <c r="R221" s="48" t="n"/>
    </row>
    <row r="222" ht="22" customHeight="1">
      <c r="A222" s="46" t="n"/>
      <c r="B222" s="46" t="n"/>
      <c r="C222" s="46" t="n"/>
      <c r="D222" s="46" t="n"/>
      <c r="E222" s="46" t="n"/>
      <c r="F222" s="46">
        <f>IF(C222="","",IF(D222="","",IF(C222="Beginner",1,IF(C222="Intermediate",2,IF(C222="Advanced",3,4)))-IF(D222="Beginner",1,IF(D222="Intermediate",2,IF(D222="Advanced",3,4)))))</f>
        <v/>
      </c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64">
        <f>IF(N222="","",IF(M222=0,0,MIN(N222/M222,1)))</f>
        <v/>
      </c>
      <c r="Q222" s="46">
        <f>IF(P222="","",REPT("█",ROUND(P222*20,0))&amp;REPT("░",20-ROUND(P222*20,0)))</f>
        <v/>
      </c>
      <c r="R222" s="46" t="n"/>
    </row>
    <row r="223" ht="22" customHeight="1">
      <c r="A223" s="48" t="n"/>
      <c r="B223" s="48" t="n"/>
      <c r="C223" s="48" t="n"/>
      <c r="D223" s="48" t="n"/>
      <c r="E223" s="48" t="n"/>
      <c r="F223" s="48">
        <f>IF(C223="","",IF(D223="","",IF(C223="Beginner",1,IF(C223="Intermediate",2,IF(C223="Advanced",3,4)))-IF(D223="Beginner",1,IF(D223="Intermediate",2,IF(D223="Advanced",3,4)))))</f>
        <v/>
      </c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65">
        <f>IF(N223="","",IF(M223=0,0,MIN(N223/M223,1)))</f>
        <v/>
      </c>
      <c r="Q223" s="48">
        <f>IF(P223="","",REPT("█",ROUND(P223*20,0))&amp;REPT("░",20-ROUND(P223*20,0)))</f>
        <v/>
      </c>
      <c r="R223" s="48" t="n"/>
    </row>
    <row r="224" ht="22" customHeight="1">
      <c r="A224" s="46" t="n"/>
      <c r="B224" s="46" t="n"/>
      <c r="C224" s="46" t="n"/>
      <c r="D224" s="46" t="n"/>
      <c r="E224" s="46" t="n"/>
      <c r="F224" s="46">
        <f>IF(C224="","",IF(D224="","",IF(C224="Beginner",1,IF(C224="Intermediate",2,IF(C224="Advanced",3,4)))-IF(D224="Beginner",1,IF(D224="Intermediate",2,IF(D224="Advanced",3,4)))))</f>
        <v/>
      </c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64">
        <f>IF(N224="","",IF(M224=0,0,MIN(N224/M224,1)))</f>
        <v/>
      </c>
      <c r="Q224" s="46">
        <f>IF(P224="","",REPT("█",ROUND(P224*20,0))&amp;REPT("░",20-ROUND(P224*20,0)))</f>
        <v/>
      </c>
      <c r="R224" s="46" t="n"/>
    </row>
    <row r="225" ht="22" customHeight="1">
      <c r="A225" s="48" t="n"/>
      <c r="B225" s="48" t="n"/>
      <c r="C225" s="48" t="n"/>
      <c r="D225" s="48" t="n"/>
      <c r="E225" s="48" t="n"/>
      <c r="F225" s="48">
        <f>IF(C225="","",IF(D225="","",IF(C225="Beginner",1,IF(C225="Intermediate",2,IF(C225="Advanced",3,4)))-IF(D225="Beginner",1,IF(D225="Intermediate",2,IF(D225="Advanced",3,4)))))</f>
        <v/>
      </c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65">
        <f>IF(N225="","",IF(M225=0,0,MIN(N225/M225,1)))</f>
        <v/>
      </c>
      <c r="Q225" s="48">
        <f>IF(P225="","",REPT("█",ROUND(P225*20,0))&amp;REPT("░",20-ROUND(P225*20,0)))</f>
        <v/>
      </c>
      <c r="R225" s="48" t="n"/>
    </row>
    <row r="226" ht="22" customHeight="1">
      <c r="A226" s="46" t="n"/>
      <c r="B226" s="46" t="n"/>
      <c r="C226" s="46" t="n"/>
      <c r="D226" s="46" t="n"/>
      <c r="E226" s="46" t="n"/>
      <c r="F226" s="46">
        <f>IF(C226="","",IF(D226="","",IF(C226="Beginner",1,IF(C226="Intermediate",2,IF(C226="Advanced",3,4)))-IF(D226="Beginner",1,IF(D226="Intermediate",2,IF(D226="Advanced",3,4)))))</f>
        <v/>
      </c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64">
        <f>IF(N226="","",IF(M226=0,0,MIN(N226/M226,1)))</f>
        <v/>
      </c>
      <c r="Q226" s="46">
        <f>IF(P226="","",REPT("█",ROUND(P226*20,0))&amp;REPT("░",20-ROUND(P226*20,0)))</f>
        <v/>
      </c>
      <c r="R226" s="46" t="n"/>
    </row>
    <row r="227" ht="22" customHeight="1">
      <c r="A227" s="48" t="n"/>
      <c r="B227" s="48" t="n"/>
      <c r="C227" s="48" t="n"/>
      <c r="D227" s="48" t="n"/>
      <c r="E227" s="48" t="n"/>
      <c r="F227" s="48">
        <f>IF(C227="","",IF(D227="","",IF(C227="Beginner",1,IF(C227="Intermediate",2,IF(C227="Advanced",3,4)))-IF(D227="Beginner",1,IF(D227="Intermediate",2,IF(D227="Advanced",3,4)))))</f>
        <v/>
      </c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65">
        <f>IF(N227="","",IF(M227=0,0,MIN(N227/M227,1)))</f>
        <v/>
      </c>
      <c r="Q227" s="48">
        <f>IF(P227="","",REPT("█",ROUND(P227*20,0))&amp;REPT("░",20-ROUND(P227*20,0)))</f>
        <v/>
      </c>
      <c r="R227" s="48" t="n"/>
    </row>
    <row r="228" ht="22" customHeight="1">
      <c r="A228" s="46" t="n"/>
      <c r="B228" s="46" t="n"/>
      <c r="C228" s="46" t="n"/>
      <c r="D228" s="46" t="n"/>
      <c r="E228" s="46" t="n"/>
      <c r="F228" s="46">
        <f>IF(C228="","",IF(D228="","",IF(C228="Beginner",1,IF(C228="Intermediate",2,IF(C228="Advanced",3,4)))-IF(D228="Beginner",1,IF(D228="Intermediate",2,IF(D228="Advanced",3,4)))))</f>
        <v/>
      </c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64">
        <f>IF(N228="","",IF(M228=0,0,MIN(N228/M228,1)))</f>
        <v/>
      </c>
      <c r="Q228" s="46">
        <f>IF(P228="","",REPT("█",ROUND(P228*20,0))&amp;REPT("░",20-ROUND(P228*20,0)))</f>
        <v/>
      </c>
      <c r="R228" s="46" t="n"/>
    </row>
    <row r="229" ht="22" customHeight="1">
      <c r="A229" s="48" t="n"/>
      <c r="B229" s="48" t="n"/>
      <c r="C229" s="48" t="n"/>
      <c r="D229" s="48" t="n"/>
      <c r="E229" s="48" t="n"/>
      <c r="F229" s="48">
        <f>IF(C229="","",IF(D229="","",IF(C229="Beginner",1,IF(C229="Intermediate",2,IF(C229="Advanced",3,4)))-IF(D229="Beginner",1,IF(D229="Intermediate",2,IF(D229="Advanced",3,4)))))</f>
        <v/>
      </c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65">
        <f>IF(N229="","",IF(M229=0,0,MIN(N229/M229,1)))</f>
        <v/>
      </c>
      <c r="Q229" s="48">
        <f>IF(P229="","",REPT("█",ROUND(P229*20,0))&amp;REPT("░",20-ROUND(P229*20,0)))</f>
        <v/>
      </c>
      <c r="R229" s="48" t="n"/>
    </row>
    <row r="230" ht="22" customHeight="1">
      <c r="A230" s="46" t="n"/>
      <c r="B230" s="46" t="n"/>
      <c r="C230" s="46" t="n"/>
      <c r="D230" s="46" t="n"/>
      <c r="E230" s="46" t="n"/>
      <c r="F230" s="46">
        <f>IF(C230="","",IF(D230="","",IF(C230="Beginner",1,IF(C230="Intermediate",2,IF(C230="Advanced",3,4)))-IF(D230="Beginner",1,IF(D230="Intermediate",2,IF(D230="Advanced",3,4)))))</f>
        <v/>
      </c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64">
        <f>IF(N230="","",IF(M230=0,0,MIN(N230/M230,1)))</f>
        <v/>
      </c>
      <c r="Q230" s="46">
        <f>IF(P230="","",REPT("█",ROUND(P230*20,0))&amp;REPT("░",20-ROUND(P230*20,0)))</f>
        <v/>
      </c>
      <c r="R230" s="46" t="n"/>
    </row>
    <row r="231" ht="22" customHeight="1">
      <c r="A231" s="48" t="n"/>
      <c r="B231" s="48" t="n"/>
      <c r="C231" s="48" t="n"/>
      <c r="D231" s="48" t="n"/>
      <c r="E231" s="48" t="n"/>
      <c r="F231" s="48">
        <f>IF(C231="","",IF(D231="","",IF(C231="Beginner",1,IF(C231="Intermediate",2,IF(C231="Advanced",3,4)))-IF(D231="Beginner",1,IF(D231="Intermediate",2,IF(D231="Advanced",3,4)))))</f>
        <v/>
      </c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65">
        <f>IF(N231="","",IF(M231=0,0,MIN(N231/M231,1)))</f>
        <v/>
      </c>
      <c r="Q231" s="48">
        <f>IF(P231="","",REPT("█",ROUND(P231*20,0))&amp;REPT("░",20-ROUND(P231*20,0)))</f>
        <v/>
      </c>
      <c r="R231" s="48" t="n"/>
    </row>
    <row r="232" ht="22" customHeight="1">
      <c r="A232" s="46" t="n"/>
      <c r="B232" s="46" t="n"/>
      <c r="C232" s="46" t="n"/>
      <c r="D232" s="46" t="n"/>
      <c r="E232" s="46" t="n"/>
      <c r="F232" s="46">
        <f>IF(C232="","",IF(D232="","",IF(C232="Beginner",1,IF(C232="Intermediate",2,IF(C232="Advanced",3,4)))-IF(D232="Beginner",1,IF(D232="Intermediate",2,IF(D232="Advanced",3,4)))))</f>
        <v/>
      </c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64">
        <f>IF(N232="","",IF(M232=0,0,MIN(N232/M232,1)))</f>
        <v/>
      </c>
      <c r="Q232" s="46">
        <f>IF(P232="","",REPT("█",ROUND(P232*20,0))&amp;REPT("░",20-ROUND(P232*20,0)))</f>
        <v/>
      </c>
      <c r="R232" s="46" t="n"/>
    </row>
    <row r="233" ht="22" customHeight="1">
      <c r="A233" s="48" t="n"/>
      <c r="B233" s="48" t="n"/>
      <c r="C233" s="48" t="n"/>
      <c r="D233" s="48" t="n"/>
      <c r="E233" s="48" t="n"/>
      <c r="F233" s="48">
        <f>IF(C233="","",IF(D233="","",IF(C233="Beginner",1,IF(C233="Intermediate",2,IF(C233="Advanced",3,4)))-IF(D233="Beginner",1,IF(D233="Intermediate",2,IF(D233="Advanced",3,4)))))</f>
        <v/>
      </c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65">
        <f>IF(N233="","",IF(M233=0,0,MIN(N233/M233,1)))</f>
        <v/>
      </c>
      <c r="Q233" s="48">
        <f>IF(P233="","",REPT("█",ROUND(P233*20,0))&amp;REPT("░",20-ROUND(P233*20,0)))</f>
        <v/>
      </c>
      <c r="R233" s="48" t="n"/>
    </row>
    <row r="234" ht="22" customHeight="1">
      <c r="A234" s="46" t="n"/>
      <c r="B234" s="46" t="n"/>
      <c r="C234" s="46" t="n"/>
      <c r="D234" s="46" t="n"/>
      <c r="E234" s="46" t="n"/>
      <c r="F234" s="46">
        <f>IF(C234="","",IF(D234="","",IF(C234="Beginner",1,IF(C234="Intermediate",2,IF(C234="Advanced",3,4)))-IF(D234="Beginner",1,IF(D234="Intermediate",2,IF(D234="Advanced",3,4)))))</f>
        <v/>
      </c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64">
        <f>IF(N234="","",IF(M234=0,0,MIN(N234/M234,1)))</f>
        <v/>
      </c>
      <c r="Q234" s="46">
        <f>IF(P234="","",REPT("█",ROUND(P234*20,0))&amp;REPT("░",20-ROUND(P234*20,0)))</f>
        <v/>
      </c>
      <c r="R234" s="46" t="n"/>
    </row>
    <row r="235" ht="22" customHeight="1">
      <c r="A235" s="48" t="n"/>
      <c r="B235" s="48" t="n"/>
      <c r="C235" s="48" t="n"/>
      <c r="D235" s="48" t="n"/>
      <c r="E235" s="48" t="n"/>
      <c r="F235" s="48">
        <f>IF(C235="","",IF(D235="","",IF(C235="Beginner",1,IF(C235="Intermediate",2,IF(C235="Advanced",3,4)))-IF(D235="Beginner",1,IF(D235="Intermediate",2,IF(D235="Advanced",3,4)))))</f>
        <v/>
      </c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65">
        <f>IF(N235="","",IF(M235=0,0,MIN(N235/M235,1)))</f>
        <v/>
      </c>
      <c r="Q235" s="48">
        <f>IF(P235="","",REPT("█",ROUND(P235*20,0))&amp;REPT("░",20-ROUND(P235*20,0)))</f>
        <v/>
      </c>
      <c r="R235" s="48" t="n"/>
    </row>
    <row r="236" ht="22" customHeight="1">
      <c r="A236" s="46" t="n"/>
      <c r="B236" s="46" t="n"/>
      <c r="C236" s="46" t="n"/>
      <c r="D236" s="46" t="n"/>
      <c r="E236" s="46" t="n"/>
      <c r="F236" s="46">
        <f>IF(C236="","",IF(D236="","",IF(C236="Beginner",1,IF(C236="Intermediate",2,IF(C236="Advanced",3,4)))-IF(D236="Beginner",1,IF(D236="Intermediate",2,IF(D236="Advanced",3,4)))))</f>
        <v/>
      </c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64">
        <f>IF(N236="","",IF(M236=0,0,MIN(N236/M236,1)))</f>
        <v/>
      </c>
      <c r="Q236" s="46">
        <f>IF(P236="","",REPT("█",ROUND(P236*20,0))&amp;REPT("░",20-ROUND(P236*20,0)))</f>
        <v/>
      </c>
      <c r="R236" s="46" t="n"/>
    </row>
    <row r="237" ht="22" customHeight="1">
      <c r="A237" s="48" t="n"/>
      <c r="B237" s="48" t="n"/>
      <c r="C237" s="48" t="n"/>
      <c r="D237" s="48" t="n"/>
      <c r="E237" s="48" t="n"/>
      <c r="F237" s="48">
        <f>IF(C237="","",IF(D237="","",IF(C237="Beginner",1,IF(C237="Intermediate",2,IF(C237="Advanced",3,4)))-IF(D237="Beginner",1,IF(D237="Intermediate",2,IF(D237="Advanced",3,4)))))</f>
        <v/>
      </c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65">
        <f>IF(N237="","",IF(M237=0,0,MIN(N237/M237,1)))</f>
        <v/>
      </c>
      <c r="Q237" s="48">
        <f>IF(P237="","",REPT("█",ROUND(P237*20,0))&amp;REPT("░",20-ROUND(P237*20,0)))</f>
        <v/>
      </c>
      <c r="R237" s="48" t="n"/>
    </row>
    <row r="238" ht="22" customHeight="1">
      <c r="A238" s="46" t="n"/>
      <c r="B238" s="46" t="n"/>
      <c r="C238" s="46" t="n"/>
      <c r="D238" s="46" t="n"/>
      <c r="E238" s="46" t="n"/>
      <c r="F238" s="46">
        <f>IF(C238="","",IF(D238="","",IF(C238="Beginner",1,IF(C238="Intermediate",2,IF(C238="Advanced",3,4)))-IF(D238="Beginner",1,IF(D238="Intermediate",2,IF(D238="Advanced",3,4)))))</f>
        <v/>
      </c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64">
        <f>IF(N238="","",IF(M238=0,0,MIN(N238/M238,1)))</f>
        <v/>
      </c>
      <c r="Q238" s="46">
        <f>IF(P238="","",REPT("█",ROUND(P238*20,0))&amp;REPT("░",20-ROUND(P238*20,0)))</f>
        <v/>
      </c>
      <c r="R238" s="46" t="n"/>
    </row>
    <row r="239" ht="22" customHeight="1">
      <c r="A239" s="48" t="n"/>
      <c r="B239" s="48" t="n"/>
      <c r="C239" s="48" t="n"/>
      <c r="D239" s="48" t="n"/>
      <c r="E239" s="48" t="n"/>
      <c r="F239" s="48">
        <f>IF(C239="","",IF(D239="","",IF(C239="Beginner",1,IF(C239="Intermediate",2,IF(C239="Advanced",3,4)))-IF(D239="Beginner",1,IF(D239="Intermediate",2,IF(D239="Advanced",3,4)))))</f>
        <v/>
      </c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65">
        <f>IF(N239="","",IF(M239=0,0,MIN(N239/M239,1)))</f>
        <v/>
      </c>
      <c r="Q239" s="48">
        <f>IF(P239="","",REPT("█",ROUND(P239*20,0))&amp;REPT("░",20-ROUND(P239*20,0)))</f>
        <v/>
      </c>
      <c r="R239" s="48" t="n"/>
    </row>
    <row r="240" ht="22" customHeight="1">
      <c r="A240" s="46" t="n"/>
      <c r="B240" s="46" t="n"/>
      <c r="C240" s="46" t="n"/>
      <c r="D240" s="46" t="n"/>
      <c r="E240" s="46" t="n"/>
      <c r="F240" s="46">
        <f>IF(C240="","",IF(D240="","",IF(C240="Beginner",1,IF(C240="Intermediate",2,IF(C240="Advanced",3,4)))-IF(D240="Beginner",1,IF(D240="Intermediate",2,IF(D240="Advanced",3,4)))))</f>
        <v/>
      </c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64">
        <f>IF(N240="","",IF(M240=0,0,MIN(N240/M240,1)))</f>
        <v/>
      </c>
      <c r="Q240" s="46">
        <f>IF(P240="","",REPT("█",ROUND(P240*20,0))&amp;REPT("░",20-ROUND(P240*20,0)))</f>
        <v/>
      </c>
      <c r="R240" s="46" t="n"/>
    </row>
    <row r="241" ht="22" customHeight="1">
      <c r="A241" s="48" t="n"/>
      <c r="B241" s="48" t="n"/>
      <c r="C241" s="48" t="n"/>
      <c r="D241" s="48" t="n"/>
      <c r="E241" s="48" t="n"/>
      <c r="F241" s="48">
        <f>IF(C241="","",IF(D241="","",IF(C241="Beginner",1,IF(C241="Intermediate",2,IF(C241="Advanced",3,4)))-IF(D241="Beginner",1,IF(D241="Intermediate",2,IF(D241="Advanced",3,4)))))</f>
        <v/>
      </c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65">
        <f>IF(N241="","",IF(M241=0,0,MIN(N241/M241,1)))</f>
        <v/>
      </c>
      <c r="Q241" s="48">
        <f>IF(P241="","",REPT("█",ROUND(P241*20,0))&amp;REPT("░",20-ROUND(P241*20,0)))</f>
        <v/>
      </c>
      <c r="R241" s="48" t="n"/>
    </row>
    <row r="242" ht="22" customHeight="1">
      <c r="A242" s="46" t="n"/>
      <c r="B242" s="46" t="n"/>
      <c r="C242" s="46" t="n"/>
      <c r="D242" s="46" t="n"/>
      <c r="E242" s="46" t="n"/>
      <c r="F242" s="46">
        <f>IF(C242="","",IF(D242="","",IF(C242="Beginner",1,IF(C242="Intermediate",2,IF(C242="Advanced",3,4)))-IF(D242="Beginner",1,IF(D242="Intermediate",2,IF(D242="Advanced",3,4)))))</f>
        <v/>
      </c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64">
        <f>IF(N242="","",IF(M242=0,0,MIN(N242/M242,1)))</f>
        <v/>
      </c>
      <c r="Q242" s="46">
        <f>IF(P242="","",REPT("█",ROUND(P242*20,0))&amp;REPT("░",20-ROUND(P242*20,0)))</f>
        <v/>
      </c>
      <c r="R242" s="46" t="n"/>
    </row>
    <row r="243" ht="22" customHeight="1">
      <c r="A243" s="48" t="n"/>
      <c r="B243" s="48" t="n"/>
      <c r="C243" s="48" t="n"/>
      <c r="D243" s="48" t="n"/>
      <c r="E243" s="48" t="n"/>
      <c r="F243" s="48">
        <f>IF(C243="","",IF(D243="","",IF(C243="Beginner",1,IF(C243="Intermediate",2,IF(C243="Advanced",3,4)))-IF(D243="Beginner",1,IF(D243="Intermediate",2,IF(D243="Advanced",3,4)))))</f>
        <v/>
      </c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65">
        <f>IF(N243="","",IF(M243=0,0,MIN(N243/M243,1)))</f>
        <v/>
      </c>
      <c r="Q243" s="48">
        <f>IF(P243="","",REPT("█",ROUND(P243*20,0))&amp;REPT("░",20-ROUND(P243*20,0)))</f>
        <v/>
      </c>
      <c r="R243" s="48" t="n"/>
    </row>
    <row r="244" ht="22" customHeight="1">
      <c r="A244" s="46" t="n"/>
      <c r="B244" s="46" t="n"/>
      <c r="C244" s="46" t="n"/>
      <c r="D244" s="46" t="n"/>
      <c r="E244" s="46" t="n"/>
      <c r="F244" s="46">
        <f>IF(C244="","",IF(D244="","",IF(C244="Beginner",1,IF(C244="Intermediate",2,IF(C244="Advanced",3,4)))-IF(D244="Beginner",1,IF(D244="Intermediate",2,IF(D244="Advanced",3,4)))))</f>
        <v/>
      </c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64">
        <f>IF(N244="","",IF(M244=0,0,MIN(N244/M244,1)))</f>
        <v/>
      </c>
      <c r="Q244" s="46">
        <f>IF(P244="","",REPT("█",ROUND(P244*20,0))&amp;REPT("░",20-ROUND(P244*20,0)))</f>
        <v/>
      </c>
      <c r="R244" s="46" t="n"/>
    </row>
    <row r="245" ht="22" customHeight="1">
      <c r="A245" s="48" t="n"/>
      <c r="B245" s="48" t="n"/>
      <c r="C245" s="48" t="n"/>
      <c r="D245" s="48" t="n"/>
      <c r="E245" s="48" t="n"/>
      <c r="F245" s="48">
        <f>IF(C245="","",IF(D245="","",IF(C245="Beginner",1,IF(C245="Intermediate",2,IF(C245="Advanced",3,4)))-IF(D245="Beginner",1,IF(D245="Intermediate",2,IF(D245="Advanced",3,4)))))</f>
        <v/>
      </c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65">
        <f>IF(N245="","",IF(M245=0,0,MIN(N245/M245,1)))</f>
        <v/>
      </c>
      <c r="Q245" s="48">
        <f>IF(P245="","",REPT("█",ROUND(P245*20,0))&amp;REPT("░",20-ROUND(P245*20,0)))</f>
        <v/>
      </c>
      <c r="R245" s="48" t="n"/>
    </row>
    <row r="246" ht="22" customHeight="1">
      <c r="A246" s="46" t="n"/>
      <c r="B246" s="46" t="n"/>
      <c r="C246" s="46" t="n"/>
      <c r="D246" s="46" t="n"/>
      <c r="E246" s="46" t="n"/>
      <c r="F246" s="46">
        <f>IF(C246="","",IF(D246="","",IF(C246="Beginner",1,IF(C246="Intermediate",2,IF(C246="Advanced",3,4)))-IF(D246="Beginner",1,IF(D246="Intermediate",2,IF(D246="Advanced",3,4)))))</f>
        <v/>
      </c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64">
        <f>IF(N246="","",IF(M246=0,0,MIN(N246/M246,1)))</f>
        <v/>
      </c>
      <c r="Q246" s="46">
        <f>IF(P246="","",REPT("█",ROUND(P246*20,0))&amp;REPT("░",20-ROUND(P246*20,0)))</f>
        <v/>
      </c>
      <c r="R246" s="46" t="n"/>
    </row>
    <row r="247" ht="22" customHeight="1">
      <c r="A247" s="48" t="n"/>
      <c r="B247" s="48" t="n"/>
      <c r="C247" s="48" t="n"/>
      <c r="D247" s="48" t="n"/>
      <c r="E247" s="48" t="n"/>
      <c r="F247" s="48">
        <f>IF(C247="","",IF(D247="","",IF(C247="Beginner",1,IF(C247="Intermediate",2,IF(C247="Advanced",3,4)))-IF(D247="Beginner",1,IF(D247="Intermediate",2,IF(D247="Advanced",3,4)))))</f>
        <v/>
      </c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65">
        <f>IF(N247="","",IF(M247=0,0,MIN(N247/M247,1)))</f>
        <v/>
      </c>
      <c r="Q247" s="48">
        <f>IF(P247="","",REPT("█",ROUND(P247*20,0))&amp;REPT("░",20-ROUND(P247*20,0)))</f>
        <v/>
      </c>
      <c r="R247" s="48" t="n"/>
    </row>
    <row r="248" ht="22" customHeight="1">
      <c r="A248" s="46" t="n"/>
      <c r="B248" s="46" t="n"/>
      <c r="C248" s="46" t="n"/>
      <c r="D248" s="46" t="n"/>
      <c r="E248" s="46" t="n"/>
      <c r="F248" s="46">
        <f>IF(C248="","",IF(D248="","",IF(C248="Beginner",1,IF(C248="Intermediate",2,IF(C248="Advanced",3,4)))-IF(D248="Beginner",1,IF(D248="Intermediate",2,IF(D248="Advanced",3,4)))))</f>
        <v/>
      </c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64">
        <f>IF(N248="","",IF(M248=0,0,MIN(N248/M248,1)))</f>
        <v/>
      </c>
      <c r="Q248" s="46">
        <f>IF(P248="","",REPT("█",ROUND(P248*20,0))&amp;REPT("░",20-ROUND(P248*20,0)))</f>
        <v/>
      </c>
      <c r="R248" s="46" t="n"/>
    </row>
    <row r="249" ht="22" customHeight="1">
      <c r="A249" s="48" t="n"/>
      <c r="B249" s="48" t="n"/>
      <c r="C249" s="48" t="n"/>
      <c r="D249" s="48" t="n"/>
      <c r="E249" s="48" t="n"/>
      <c r="F249" s="48">
        <f>IF(C249="","",IF(D249="","",IF(C249="Beginner",1,IF(C249="Intermediate",2,IF(C249="Advanced",3,4)))-IF(D249="Beginner",1,IF(D249="Intermediate",2,IF(D249="Advanced",3,4)))))</f>
        <v/>
      </c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65">
        <f>IF(N249="","",IF(M249=0,0,MIN(N249/M249,1)))</f>
        <v/>
      </c>
      <c r="Q249" s="48">
        <f>IF(P249="","",REPT("█",ROUND(P249*20,0))&amp;REPT("░",20-ROUND(P249*20,0)))</f>
        <v/>
      </c>
      <c r="R249" s="48" t="n"/>
    </row>
    <row r="250" ht="22" customHeight="1">
      <c r="A250" s="46" t="n"/>
      <c r="B250" s="46" t="n"/>
      <c r="C250" s="46" t="n"/>
      <c r="D250" s="46" t="n"/>
      <c r="E250" s="46" t="n"/>
      <c r="F250" s="46">
        <f>IF(C250="","",IF(D250="","",IF(C250="Beginner",1,IF(C250="Intermediate",2,IF(C250="Advanced",3,4)))-IF(D250="Beginner",1,IF(D250="Intermediate",2,IF(D250="Advanced",3,4)))))</f>
        <v/>
      </c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64">
        <f>IF(N250="","",IF(M250=0,0,MIN(N250/M250,1)))</f>
        <v/>
      </c>
      <c r="Q250" s="46">
        <f>IF(P250="","",REPT("█",ROUND(P250*20,0))&amp;REPT("░",20-ROUND(P250*20,0)))</f>
        <v/>
      </c>
      <c r="R250" s="46" t="n"/>
    </row>
    <row r="251" ht="22" customHeight="1">
      <c r="A251" s="48" t="n"/>
      <c r="B251" s="48" t="n"/>
      <c r="C251" s="48" t="n"/>
      <c r="D251" s="48" t="n"/>
      <c r="E251" s="48" t="n"/>
      <c r="F251" s="48">
        <f>IF(C251="","",IF(D251="","",IF(C251="Beginner",1,IF(C251="Intermediate",2,IF(C251="Advanced",3,4)))-IF(D251="Beginner",1,IF(D251="Intermediate",2,IF(D251="Advanced",3,4)))))</f>
        <v/>
      </c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65">
        <f>IF(N251="","",IF(M251=0,0,MIN(N251/M251,1)))</f>
        <v/>
      </c>
      <c r="Q251" s="48">
        <f>IF(P251="","",REPT("█",ROUND(P251*20,0))&amp;REPT("░",20-ROUND(P251*20,0)))</f>
        <v/>
      </c>
      <c r="R251" s="48" t="n"/>
    </row>
    <row r="252" ht="22" customHeight="1">
      <c r="A252" s="46" t="n"/>
      <c r="B252" s="46" t="n"/>
      <c r="C252" s="46" t="n"/>
      <c r="D252" s="46" t="n"/>
      <c r="E252" s="46" t="n"/>
      <c r="F252" s="46">
        <f>IF(C252="","",IF(D252="","",IF(C252="Beginner",1,IF(C252="Intermediate",2,IF(C252="Advanced",3,4)))-IF(D252="Beginner",1,IF(D252="Intermediate",2,IF(D252="Advanced",3,4)))))</f>
        <v/>
      </c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64">
        <f>IF(N252="","",IF(M252=0,0,MIN(N252/M252,1)))</f>
        <v/>
      </c>
      <c r="Q252" s="46">
        <f>IF(P252="","",REPT("█",ROUND(P252*20,0))&amp;REPT("░",20-ROUND(P252*20,0)))</f>
        <v/>
      </c>
      <c r="R252" s="46" t="n"/>
    </row>
    <row r="253" ht="22" customHeight="1">
      <c r="A253" s="48" t="n"/>
      <c r="B253" s="48" t="n"/>
      <c r="C253" s="48" t="n"/>
      <c r="D253" s="48" t="n"/>
      <c r="E253" s="48" t="n"/>
      <c r="F253" s="48">
        <f>IF(C253="","",IF(D253="","",IF(C253="Beginner",1,IF(C253="Intermediate",2,IF(C253="Advanced",3,4)))-IF(D253="Beginner",1,IF(D253="Intermediate",2,IF(D253="Advanced",3,4)))))</f>
        <v/>
      </c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65">
        <f>IF(N253="","",IF(M253=0,0,MIN(N253/M253,1)))</f>
        <v/>
      </c>
      <c r="Q253" s="48">
        <f>IF(P253="","",REPT("█",ROUND(P253*20,0))&amp;REPT("░",20-ROUND(P253*20,0)))</f>
        <v/>
      </c>
      <c r="R253" s="48" t="n"/>
    </row>
    <row r="254" ht="22" customHeight="1">
      <c r="A254" s="46" t="n"/>
      <c r="B254" s="46" t="n"/>
      <c r="C254" s="46" t="n"/>
      <c r="D254" s="46" t="n"/>
      <c r="E254" s="46" t="n"/>
      <c r="F254" s="46">
        <f>IF(C254="","",IF(D254="","",IF(C254="Beginner",1,IF(C254="Intermediate",2,IF(C254="Advanced",3,4)))-IF(D254="Beginner",1,IF(D254="Intermediate",2,IF(D254="Advanced",3,4)))))</f>
        <v/>
      </c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64">
        <f>IF(N254="","",IF(M254=0,0,MIN(N254/M254,1)))</f>
        <v/>
      </c>
      <c r="Q254" s="46">
        <f>IF(P254="","",REPT("█",ROUND(P254*20,0))&amp;REPT("░",20-ROUND(P254*20,0)))</f>
        <v/>
      </c>
      <c r="R254" s="46" t="n"/>
    </row>
    <row r="255" ht="22" customHeight="1">
      <c r="A255" s="48" t="n"/>
      <c r="B255" s="48" t="n"/>
      <c r="C255" s="48" t="n"/>
      <c r="D255" s="48" t="n"/>
      <c r="E255" s="48" t="n"/>
      <c r="F255" s="48">
        <f>IF(C255="","",IF(D255="","",IF(C255="Beginner",1,IF(C255="Intermediate",2,IF(C255="Advanced",3,4)))-IF(D255="Beginner",1,IF(D255="Intermediate",2,IF(D255="Advanced",3,4)))))</f>
        <v/>
      </c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65">
        <f>IF(N255="","",IF(M255=0,0,MIN(N255/M255,1)))</f>
        <v/>
      </c>
      <c r="Q255" s="48">
        <f>IF(P255="","",REPT("█",ROUND(P255*20,0))&amp;REPT("░",20-ROUND(P255*20,0)))</f>
        <v/>
      </c>
      <c r="R255" s="48" t="n"/>
    </row>
    <row r="256" ht="22" customHeight="1">
      <c r="A256" s="46" t="n"/>
      <c r="B256" s="46" t="n"/>
      <c r="C256" s="46" t="n"/>
      <c r="D256" s="46" t="n"/>
      <c r="E256" s="46" t="n"/>
      <c r="F256" s="46">
        <f>IF(C256="","",IF(D256="","",IF(C256="Beginner",1,IF(C256="Intermediate",2,IF(C256="Advanced",3,4)))-IF(D256="Beginner",1,IF(D256="Intermediate",2,IF(D256="Advanced",3,4)))))</f>
        <v/>
      </c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64">
        <f>IF(N256="","",IF(M256=0,0,MIN(N256/M256,1)))</f>
        <v/>
      </c>
      <c r="Q256" s="46">
        <f>IF(P256="","",REPT("█",ROUND(P256*20,0))&amp;REPT("░",20-ROUND(P256*20,0)))</f>
        <v/>
      </c>
      <c r="R256" s="46" t="n"/>
    </row>
    <row r="257" ht="22" customHeight="1">
      <c r="A257" s="48" t="n"/>
      <c r="B257" s="48" t="n"/>
      <c r="C257" s="48" t="n"/>
      <c r="D257" s="48" t="n"/>
      <c r="E257" s="48" t="n"/>
      <c r="F257" s="48">
        <f>IF(C257="","",IF(D257="","",IF(C257="Beginner",1,IF(C257="Intermediate",2,IF(C257="Advanced",3,4)))-IF(D257="Beginner",1,IF(D257="Intermediate",2,IF(D257="Advanced",3,4)))))</f>
        <v/>
      </c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65">
        <f>IF(N257="","",IF(M257=0,0,MIN(N257/M257,1)))</f>
        <v/>
      </c>
      <c r="Q257" s="48">
        <f>IF(P257="","",REPT("█",ROUND(P257*20,0))&amp;REPT("░",20-ROUND(P257*20,0)))</f>
        <v/>
      </c>
      <c r="R257" s="48" t="n"/>
    </row>
    <row r="258" ht="22" customHeight="1">
      <c r="A258" s="46" t="n"/>
      <c r="B258" s="46" t="n"/>
      <c r="C258" s="46" t="n"/>
      <c r="D258" s="46" t="n"/>
      <c r="E258" s="46" t="n"/>
      <c r="F258" s="46">
        <f>IF(C258="","",IF(D258="","",IF(C258="Beginner",1,IF(C258="Intermediate",2,IF(C258="Advanced",3,4)))-IF(D258="Beginner",1,IF(D258="Intermediate",2,IF(D258="Advanced",3,4)))))</f>
        <v/>
      </c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64">
        <f>IF(N258="","",IF(M258=0,0,MIN(N258/M258,1)))</f>
        <v/>
      </c>
      <c r="Q258" s="46">
        <f>IF(P258="","",REPT("█",ROUND(P258*20,0))&amp;REPT("░",20-ROUND(P258*20,0)))</f>
        <v/>
      </c>
      <c r="R258" s="46" t="n"/>
    </row>
    <row r="259" ht="22" customHeight="1">
      <c r="A259" s="48" t="n"/>
      <c r="B259" s="48" t="n"/>
      <c r="C259" s="48" t="n"/>
      <c r="D259" s="48" t="n"/>
      <c r="E259" s="48" t="n"/>
      <c r="F259" s="48">
        <f>IF(C259="","",IF(D259="","",IF(C259="Beginner",1,IF(C259="Intermediate",2,IF(C259="Advanced",3,4)))-IF(D259="Beginner",1,IF(D259="Intermediate",2,IF(D259="Advanced",3,4)))))</f>
        <v/>
      </c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65">
        <f>IF(N259="","",IF(M259=0,0,MIN(N259/M259,1)))</f>
        <v/>
      </c>
      <c r="Q259" s="48">
        <f>IF(P259="","",REPT("█",ROUND(P259*20,0))&amp;REPT("░",20-ROUND(P259*20,0)))</f>
        <v/>
      </c>
      <c r="R259" s="48" t="n"/>
    </row>
    <row r="260" ht="22" customHeight="1">
      <c r="A260" s="46" t="n"/>
      <c r="B260" s="46" t="n"/>
      <c r="C260" s="46" t="n"/>
      <c r="D260" s="46" t="n"/>
      <c r="E260" s="46" t="n"/>
      <c r="F260" s="46">
        <f>IF(C260="","",IF(D260="","",IF(C260="Beginner",1,IF(C260="Intermediate",2,IF(C260="Advanced",3,4)))-IF(D260="Beginner",1,IF(D260="Intermediate",2,IF(D260="Advanced",3,4)))))</f>
        <v/>
      </c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64">
        <f>IF(N260="","",IF(M260=0,0,MIN(N260/M260,1)))</f>
        <v/>
      </c>
      <c r="Q260" s="46">
        <f>IF(P260="","",REPT("█",ROUND(P260*20,0))&amp;REPT("░",20-ROUND(P260*20,0)))</f>
        <v/>
      </c>
      <c r="R260" s="46" t="n"/>
    </row>
    <row r="261" ht="22" customHeight="1">
      <c r="A261" s="48" t="n"/>
      <c r="B261" s="48" t="n"/>
      <c r="C261" s="48" t="n"/>
      <c r="D261" s="48" t="n"/>
      <c r="E261" s="48" t="n"/>
      <c r="F261" s="48">
        <f>IF(C261="","",IF(D261="","",IF(C261="Beginner",1,IF(C261="Intermediate",2,IF(C261="Advanced",3,4)))-IF(D261="Beginner",1,IF(D261="Intermediate",2,IF(D261="Advanced",3,4)))))</f>
        <v/>
      </c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65">
        <f>IF(N261="","",IF(M261=0,0,MIN(N261/M261,1)))</f>
        <v/>
      </c>
      <c r="Q261" s="48">
        <f>IF(P261="","",REPT("█",ROUND(P261*20,0))&amp;REPT("░",20-ROUND(P261*20,0)))</f>
        <v/>
      </c>
      <c r="R261" s="48" t="n"/>
    </row>
    <row r="262" ht="22" customHeight="1">
      <c r="A262" s="46" t="n"/>
      <c r="B262" s="46" t="n"/>
      <c r="C262" s="46" t="n"/>
      <c r="D262" s="46" t="n"/>
      <c r="E262" s="46" t="n"/>
      <c r="F262" s="46">
        <f>IF(C262="","",IF(D262="","",IF(C262="Beginner",1,IF(C262="Intermediate",2,IF(C262="Advanced",3,4)))-IF(D262="Beginner",1,IF(D262="Intermediate",2,IF(D262="Advanced",3,4)))))</f>
        <v/>
      </c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64">
        <f>IF(N262="","",IF(M262=0,0,MIN(N262/M262,1)))</f>
        <v/>
      </c>
      <c r="Q262" s="46">
        <f>IF(P262="","",REPT("█",ROUND(P262*20,0))&amp;REPT("░",20-ROUND(P262*20,0)))</f>
        <v/>
      </c>
      <c r="R262" s="46" t="n"/>
    </row>
    <row r="263" ht="22" customHeight="1">
      <c r="A263" s="48" t="n"/>
      <c r="B263" s="48" t="n"/>
      <c r="C263" s="48" t="n"/>
      <c r="D263" s="48" t="n"/>
      <c r="E263" s="48" t="n"/>
      <c r="F263" s="48">
        <f>IF(C263="","",IF(D263="","",IF(C263="Beginner",1,IF(C263="Intermediate",2,IF(C263="Advanced",3,4)))-IF(D263="Beginner",1,IF(D263="Intermediate",2,IF(D263="Advanced",3,4)))))</f>
        <v/>
      </c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65">
        <f>IF(N263="","",IF(M263=0,0,MIN(N263/M263,1)))</f>
        <v/>
      </c>
      <c r="Q263" s="48">
        <f>IF(P263="","",REPT("█",ROUND(P263*20,0))&amp;REPT("░",20-ROUND(P263*20,0)))</f>
        <v/>
      </c>
      <c r="R263" s="48" t="n"/>
    </row>
    <row r="264" ht="22" customHeight="1">
      <c r="A264" s="46" t="n"/>
      <c r="B264" s="46" t="n"/>
      <c r="C264" s="46" t="n"/>
      <c r="D264" s="46" t="n"/>
      <c r="E264" s="46" t="n"/>
      <c r="F264" s="46">
        <f>IF(C264="","",IF(D264="","",IF(C264="Beginner",1,IF(C264="Intermediate",2,IF(C264="Advanced",3,4)))-IF(D264="Beginner",1,IF(D264="Intermediate",2,IF(D264="Advanced",3,4)))))</f>
        <v/>
      </c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64">
        <f>IF(N264="","",IF(M264=0,0,MIN(N264/M264,1)))</f>
        <v/>
      </c>
      <c r="Q264" s="46">
        <f>IF(P264="","",REPT("█",ROUND(P264*20,0))&amp;REPT("░",20-ROUND(P264*20,0)))</f>
        <v/>
      </c>
      <c r="R264" s="46" t="n"/>
    </row>
    <row r="265" ht="22" customHeight="1">
      <c r="A265" s="48" t="n"/>
      <c r="B265" s="48" t="n"/>
      <c r="C265" s="48" t="n"/>
      <c r="D265" s="48" t="n"/>
      <c r="E265" s="48" t="n"/>
      <c r="F265" s="48">
        <f>IF(C265="","",IF(D265="","",IF(C265="Beginner",1,IF(C265="Intermediate",2,IF(C265="Advanced",3,4)))-IF(D265="Beginner",1,IF(D265="Intermediate",2,IF(D265="Advanced",3,4)))))</f>
        <v/>
      </c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65">
        <f>IF(N265="","",IF(M265=0,0,MIN(N265/M265,1)))</f>
        <v/>
      </c>
      <c r="Q265" s="48">
        <f>IF(P265="","",REPT("█",ROUND(P265*20,0))&amp;REPT("░",20-ROUND(P265*20,0)))</f>
        <v/>
      </c>
      <c r="R265" s="48" t="n"/>
    </row>
    <row r="266" ht="22" customHeight="1">
      <c r="A266" s="46" t="n"/>
      <c r="B266" s="46" t="n"/>
      <c r="C266" s="46" t="n"/>
      <c r="D266" s="46" t="n"/>
      <c r="E266" s="46" t="n"/>
      <c r="F266" s="46">
        <f>IF(C266="","",IF(D266="","",IF(C266="Beginner",1,IF(C266="Intermediate",2,IF(C266="Advanced",3,4)))-IF(D266="Beginner",1,IF(D266="Intermediate",2,IF(D266="Advanced",3,4)))))</f>
        <v/>
      </c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64">
        <f>IF(N266="","",IF(M266=0,0,MIN(N266/M266,1)))</f>
        <v/>
      </c>
      <c r="Q266" s="46">
        <f>IF(P266="","",REPT("█",ROUND(P266*20,0))&amp;REPT("░",20-ROUND(P266*20,0)))</f>
        <v/>
      </c>
      <c r="R266" s="46" t="n"/>
    </row>
    <row r="267" ht="22" customHeight="1">
      <c r="A267" s="48" t="n"/>
      <c r="B267" s="48" t="n"/>
      <c r="C267" s="48" t="n"/>
      <c r="D267" s="48" t="n"/>
      <c r="E267" s="48" t="n"/>
      <c r="F267" s="48">
        <f>IF(C267="","",IF(D267="","",IF(C267="Beginner",1,IF(C267="Intermediate",2,IF(C267="Advanced",3,4)))-IF(D267="Beginner",1,IF(D267="Intermediate",2,IF(D267="Advanced",3,4)))))</f>
        <v/>
      </c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65">
        <f>IF(N267="","",IF(M267=0,0,MIN(N267/M267,1)))</f>
        <v/>
      </c>
      <c r="Q267" s="48">
        <f>IF(P267="","",REPT("█",ROUND(P267*20,0))&amp;REPT("░",20-ROUND(P267*20,0)))</f>
        <v/>
      </c>
      <c r="R267" s="48" t="n"/>
    </row>
    <row r="268" ht="22" customHeight="1">
      <c r="A268" s="46" t="n"/>
      <c r="B268" s="46" t="n"/>
      <c r="C268" s="46" t="n"/>
      <c r="D268" s="46" t="n"/>
      <c r="E268" s="46" t="n"/>
      <c r="F268" s="46">
        <f>IF(C268="","",IF(D268="","",IF(C268="Beginner",1,IF(C268="Intermediate",2,IF(C268="Advanced",3,4)))-IF(D268="Beginner",1,IF(D268="Intermediate",2,IF(D268="Advanced",3,4)))))</f>
        <v/>
      </c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64">
        <f>IF(N268="","",IF(M268=0,0,MIN(N268/M268,1)))</f>
        <v/>
      </c>
      <c r="Q268" s="46">
        <f>IF(P268="","",REPT("█",ROUND(P268*20,0))&amp;REPT("░",20-ROUND(P268*20,0)))</f>
        <v/>
      </c>
      <c r="R268" s="46" t="n"/>
    </row>
    <row r="269" ht="22" customHeight="1">
      <c r="A269" s="48" t="n"/>
      <c r="B269" s="48" t="n"/>
      <c r="C269" s="48" t="n"/>
      <c r="D269" s="48" t="n"/>
      <c r="E269" s="48" t="n"/>
      <c r="F269" s="48">
        <f>IF(C269="","",IF(D269="","",IF(C269="Beginner",1,IF(C269="Intermediate",2,IF(C269="Advanced",3,4)))-IF(D269="Beginner",1,IF(D269="Intermediate",2,IF(D269="Advanced",3,4)))))</f>
        <v/>
      </c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65">
        <f>IF(N269="","",IF(M269=0,0,MIN(N269/M269,1)))</f>
        <v/>
      </c>
      <c r="Q269" s="48">
        <f>IF(P269="","",REPT("█",ROUND(P269*20,0))&amp;REPT("░",20-ROUND(P269*20,0)))</f>
        <v/>
      </c>
      <c r="R269" s="48" t="n"/>
    </row>
    <row r="270" ht="22" customHeight="1">
      <c r="A270" s="46" t="n"/>
      <c r="B270" s="46" t="n"/>
      <c r="C270" s="46" t="n"/>
      <c r="D270" s="46" t="n"/>
      <c r="E270" s="46" t="n"/>
      <c r="F270" s="46">
        <f>IF(C270="","",IF(D270="","",IF(C270="Beginner",1,IF(C270="Intermediate",2,IF(C270="Advanced",3,4)))-IF(D270="Beginner",1,IF(D270="Intermediate",2,IF(D270="Advanced",3,4)))))</f>
        <v/>
      </c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64">
        <f>IF(N270="","",IF(M270=0,0,MIN(N270/M270,1)))</f>
        <v/>
      </c>
      <c r="Q270" s="46">
        <f>IF(P270="","",REPT("█",ROUND(P270*20,0))&amp;REPT("░",20-ROUND(P270*20,0)))</f>
        <v/>
      </c>
      <c r="R270" s="46" t="n"/>
    </row>
    <row r="271" ht="22" customHeight="1">
      <c r="A271" s="48" t="n"/>
      <c r="B271" s="48" t="n"/>
      <c r="C271" s="48" t="n"/>
      <c r="D271" s="48" t="n"/>
      <c r="E271" s="48" t="n"/>
      <c r="F271" s="48">
        <f>IF(C271="","",IF(D271="","",IF(C271="Beginner",1,IF(C271="Intermediate",2,IF(C271="Advanced",3,4)))-IF(D271="Beginner",1,IF(D271="Intermediate",2,IF(D271="Advanced",3,4)))))</f>
        <v/>
      </c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65">
        <f>IF(N271="","",IF(M271=0,0,MIN(N271/M271,1)))</f>
        <v/>
      </c>
      <c r="Q271" s="48">
        <f>IF(P271="","",REPT("█",ROUND(P271*20,0))&amp;REPT("░",20-ROUND(P271*20,0)))</f>
        <v/>
      </c>
      <c r="R271" s="48" t="n"/>
    </row>
    <row r="272" ht="22" customHeight="1">
      <c r="A272" s="46" t="n"/>
      <c r="B272" s="46" t="n"/>
      <c r="C272" s="46" t="n"/>
      <c r="D272" s="46" t="n"/>
      <c r="E272" s="46" t="n"/>
      <c r="F272" s="46">
        <f>IF(C272="","",IF(D272="","",IF(C272="Beginner",1,IF(C272="Intermediate",2,IF(C272="Advanced",3,4)))-IF(D272="Beginner",1,IF(D272="Intermediate",2,IF(D272="Advanced",3,4)))))</f>
        <v/>
      </c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64">
        <f>IF(N272="","",IF(M272=0,0,MIN(N272/M272,1)))</f>
        <v/>
      </c>
      <c r="Q272" s="46">
        <f>IF(P272="","",REPT("█",ROUND(P272*20,0))&amp;REPT("░",20-ROUND(P272*20,0)))</f>
        <v/>
      </c>
      <c r="R272" s="46" t="n"/>
    </row>
    <row r="273" ht="22" customHeight="1">
      <c r="A273" s="48" t="n"/>
      <c r="B273" s="48" t="n"/>
      <c r="C273" s="48" t="n"/>
      <c r="D273" s="48" t="n"/>
      <c r="E273" s="48" t="n"/>
      <c r="F273" s="48">
        <f>IF(C273="","",IF(D273="","",IF(C273="Beginner",1,IF(C273="Intermediate",2,IF(C273="Advanced",3,4)))-IF(D273="Beginner",1,IF(D273="Intermediate",2,IF(D273="Advanced",3,4)))))</f>
        <v/>
      </c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65">
        <f>IF(N273="","",IF(M273=0,0,MIN(N273/M273,1)))</f>
        <v/>
      </c>
      <c r="Q273" s="48">
        <f>IF(P273="","",REPT("█",ROUND(P273*20,0))&amp;REPT("░",20-ROUND(P273*20,0)))</f>
        <v/>
      </c>
      <c r="R273" s="48" t="n"/>
    </row>
    <row r="274" ht="22" customHeight="1">
      <c r="A274" s="46" t="n"/>
      <c r="B274" s="46" t="n"/>
      <c r="C274" s="46" t="n"/>
      <c r="D274" s="46" t="n"/>
      <c r="E274" s="46" t="n"/>
      <c r="F274" s="46">
        <f>IF(C274="","",IF(D274="","",IF(C274="Beginner",1,IF(C274="Intermediate",2,IF(C274="Advanced",3,4)))-IF(D274="Beginner",1,IF(D274="Intermediate",2,IF(D274="Advanced",3,4)))))</f>
        <v/>
      </c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64">
        <f>IF(N274="","",IF(M274=0,0,MIN(N274/M274,1)))</f>
        <v/>
      </c>
      <c r="Q274" s="46">
        <f>IF(P274="","",REPT("█",ROUND(P274*20,0))&amp;REPT("░",20-ROUND(P274*20,0)))</f>
        <v/>
      </c>
      <c r="R274" s="46" t="n"/>
    </row>
    <row r="275" ht="22" customHeight="1">
      <c r="A275" s="48" t="n"/>
      <c r="B275" s="48" t="n"/>
      <c r="C275" s="48" t="n"/>
      <c r="D275" s="48" t="n"/>
      <c r="E275" s="48" t="n"/>
      <c r="F275" s="48">
        <f>IF(C275="","",IF(D275="","",IF(C275="Beginner",1,IF(C275="Intermediate",2,IF(C275="Advanced",3,4)))-IF(D275="Beginner",1,IF(D275="Intermediate",2,IF(D275="Advanced",3,4)))))</f>
        <v/>
      </c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65">
        <f>IF(N275="","",IF(M275=0,0,MIN(N275/M275,1)))</f>
        <v/>
      </c>
      <c r="Q275" s="48">
        <f>IF(P275="","",REPT("█",ROUND(P275*20,0))&amp;REPT("░",20-ROUND(P275*20,0)))</f>
        <v/>
      </c>
      <c r="R275" s="48" t="n"/>
    </row>
    <row r="276" ht="22" customHeight="1">
      <c r="A276" s="46" t="n"/>
      <c r="B276" s="46" t="n"/>
      <c r="C276" s="46" t="n"/>
      <c r="D276" s="46" t="n"/>
      <c r="E276" s="46" t="n"/>
      <c r="F276" s="46">
        <f>IF(C276="","",IF(D276="","",IF(C276="Beginner",1,IF(C276="Intermediate",2,IF(C276="Advanced",3,4)))-IF(D276="Beginner",1,IF(D276="Intermediate",2,IF(D276="Advanced",3,4)))))</f>
        <v/>
      </c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64">
        <f>IF(N276="","",IF(M276=0,0,MIN(N276/M276,1)))</f>
        <v/>
      </c>
      <c r="Q276" s="46">
        <f>IF(P276="","",REPT("█",ROUND(P276*20,0))&amp;REPT("░",20-ROUND(P276*20,0)))</f>
        <v/>
      </c>
      <c r="R276" s="46" t="n"/>
    </row>
    <row r="277" ht="22" customHeight="1">
      <c r="A277" s="48" t="n"/>
      <c r="B277" s="48" t="n"/>
      <c r="C277" s="48" t="n"/>
      <c r="D277" s="48" t="n"/>
      <c r="E277" s="48" t="n"/>
      <c r="F277" s="48">
        <f>IF(C277="","",IF(D277="","",IF(C277="Beginner",1,IF(C277="Intermediate",2,IF(C277="Advanced",3,4)))-IF(D277="Beginner",1,IF(D277="Intermediate",2,IF(D277="Advanced",3,4)))))</f>
        <v/>
      </c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65">
        <f>IF(N277="","",IF(M277=0,0,MIN(N277/M277,1)))</f>
        <v/>
      </c>
      <c r="Q277" s="48">
        <f>IF(P277="","",REPT("█",ROUND(P277*20,0))&amp;REPT("░",20-ROUND(P277*20,0)))</f>
        <v/>
      </c>
      <c r="R277" s="48" t="n"/>
    </row>
    <row r="278" ht="22" customHeight="1">
      <c r="A278" s="46" t="n"/>
      <c r="B278" s="46" t="n"/>
      <c r="C278" s="46" t="n"/>
      <c r="D278" s="46" t="n"/>
      <c r="E278" s="46" t="n"/>
      <c r="F278" s="46">
        <f>IF(C278="","",IF(D278="","",IF(C278="Beginner",1,IF(C278="Intermediate",2,IF(C278="Advanced",3,4)))-IF(D278="Beginner",1,IF(D278="Intermediate",2,IF(D278="Advanced",3,4)))))</f>
        <v/>
      </c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64">
        <f>IF(N278="","",IF(M278=0,0,MIN(N278/M278,1)))</f>
        <v/>
      </c>
      <c r="Q278" s="46">
        <f>IF(P278="","",REPT("█",ROUND(P278*20,0))&amp;REPT("░",20-ROUND(P278*20,0)))</f>
        <v/>
      </c>
      <c r="R278" s="46" t="n"/>
    </row>
    <row r="279" ht="22" customHeight="1">
      <c r="A279" s="48" t="n"/>
      <c r="B279" s="48" t="n"/>
      <c r="C279" s="48" t="n"/>
      <c r="D279" s="48" t="n"/>
      <c r="E279" s="48" t="n"/>
      <c r="F279" s="48">
        <f>IF(C279="","",IF(D279="","",IF(C279="Beginner",1,IF(C279="Intermediate",2,IF(C279="Advanced",3,4)))-IF(D279="Beginner",1,IF(D279="Intermediate",2,IF(D279="Advanced",3,4)))))</f>
        <v/>
      </c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65">
        <f>IF(N279="","",IF(M279=0,0,MIN(N279/M279,1)))</f>
        <v/>
      </c>
      <c r="Q279" s="48">
        <f>IF(P279="","",REPT("█",ROUND(P279*20,0))&amp;REPT("░",20-ROUND(P279*20,0)))</f>
        <v/>
      </c>
      <c r="R279" s="48" t="n"/>
    </row>
    <row r="280" ht="22" customHeight="1">
      <c r="A280" s="46" t="n"/>
      <c r="B280" s="46" t="n"/>
      <c r="C280" s="46" t="n"/>
      <c r="D280" s="46" t="n"/>
      <c r="E280" s="46" t="n"/>
      <c r="F280" s="46">
        <f>IF(C280="","",IF(D280="","",IF(C280="Beginner",1,IF(C280="Intermediate",2,IF(C280="Advanced",3,4)))-IF(D280="Beginner",1,IF(D280="Intermediate",2,IF(D280="Advanced",3,4)))))</f>
        <v/>
      </c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64">
        <f>IF(N280="","",IF(M280=0,0,MIN(N280/M280,1)))</f>
        <v/>
      </c>
      <c r="Q280" s="46">
        <f>IF(P280="","",REPT("█",ROUND(P280*20,0))&amp;REPT("░",20-ROUND(P280*20,0)))</f>
        <v/>
      </c>
      <c r="R280" s="46" t="n"/>
    </row>
    <row r="281" ht="22" customHeight="1">
      <c r="A281" s="48" t="n"/>
      <c r="B281" s="48" t="n"/>
      <c r="C281" s="48" t="n"/>
      <c r="D281" s="48" t="n"/>
      <c r="E281" s="48" t="n"/>
      <c r="F281" s="48">
        <f>IF(C281="","",IF(D281="","",IF(C281="Beginner",1,IF(C281="Intermediate",2,IF(C281="Advanced",3,4)))-IF(D281="Beginner",1,IF(D281="Intermediate",2,IF(D281="Advanced",3,4)))))</f>
        <v/>
      </c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65">
        <f>IF(N281="","",IF(M281=0,0,MIN(N281/M281,1)))</f>
        <v/>
      </c>
      <c r="Q281" s="48">
        <f>IF(P281="","",REPT("█",ROUND(P281*20,0))&amp;REPT("░",20-ROUND(P281*20,0)))</f>
        <v/>
      </c>
      <c r="R281" s="48" t="n"/>
    </row>
    <row r="282" ht="22" customHeight="1">
      <c r="A282" s="46" t="n"/>
      <c r="B282" s="46" t="n"/>
      <c r="C282" s="46" t="n"/>
      <c r="D282" s="46" t="n"/>
      <c r="E282" s="46" t="n"/>
      <c r="F282" s="46">
        <f>IF(C282="","",IF(D282="","",IF(C282="Beginner",1,IF(C282="Intermediate",2,IF(C282="Advanced",3,4)))-IF(D282="Beginner",1,IF(D282="Intermediate",2,IF(D282="Advanced",3,4)))))</f>
        <v/>
      </c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64">
        <f>IF(N282="","",IF(M282=0,0,MIN(N282/M282,1)))</f>
        <v/>
      </c>
      <c r="Q282" s="46">
        <f>IF(P282="","",REPT("█",ROUND(P282*20,0))&amp;REPT("░",20-ROUND(P282*20,0)))</f>
        <v/>
      </c>
      <c r="R282" s="46" t="n"/>
    </row>
    <row r="283" ht="22" customHeight="1">
      <c r="A283" s="48" t="n"/>
      <c r="B283" s="48" t="n"/>
      <c r="C283" s="48" t="n"/>
      <c r="D283" s="48" t="n"/>
      <c r="E283" s="48" t="n"/>
      <c r="F283" s="48">
        <f>IF(C283="","",IF(D283="","",IF(C283="Beginner",1,IF(C283="Intermediate",2,IF(C283="Advanced",3,4)))-IF(D283="Beginner",1,IF(D283="Intermediate",2,IF(D283="Advanced",3,4)))))</f>
        <v/>
      </c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65">
        <f>IF(N283="","",IF(M283=0,0,MIN(N283/M283,1)))</f>
        <v/>
      </c>
      <c r="Q283" s="48">
        <f>IF(P283="","",REPT("█",ROUND(P283*20,0))&amp;REPT("░",20-ROUND(P283*20,0)))</f>
        <v/>
      </c>
      <c r="R283" s="48" t="n"/>
    </row>
    <row r="284" ht="22" customHeight="1">
      <c r="A284" s="46" t="n"/>
      <c r="B284" s="46" t="n"/>
      <c r="C284" s="46" t="n"/>
      <c r="D284" s="46" t="n"/>
      <c r="E284" s="46" t="n"/>
      <c r="F284" s="46">
        <f>IF(C284="","",IF(D284="","",IF(C284="Beginner",1,IF(C284="Intermediate",2,IF(C284="Advanced",3,4)))-IF(D284="Beginner",1,IF(D284="Intermediate",2,IF(D284="Advanced",3,4)))))</f>
        <v/>
      </c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64">
        <f>IF(N284="","",IF(M284=0,0,MIN(N284/M284,1)))</f>
        <v/>
      </c>
      <c r="Q284" s="46">
        <f>IF(P284="","",REPT("█",ROUND(P284*20,0))&amp;REPT("░",20-ROUND(P284*20,0)))</f>
        <v/>
      </c>
      <c r="R284" s="46" t="n"/>
    </row>
    <row r="285" ht="22" customHeight="1">
      <c r="A285" s="48" t="n"/>
      <c r="B285" s="48" t="n"/>
      <c r="C285" s="48" t="n"/>
      <c r="D285" s="48" t="n"/>
      <c r="E285" s="48" t="n"/>
      <c r="F285" s="48">
        <f>IF(C285="","",IF(D285="","",IF(C285="Beginner",1,IF(C285="Intermediate",2,IF(C285="Advanced",3,4)))-IF(D285="Beginner",1,IF(D285="Intermediate",2,IF(D285="Advanced",3,4)))))</f>
        <v/>
      </c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65">
        <f>IF(N285="","",IF(M285=0,0,MIN(N285/M285,1)))</f>
        <v/>
      </c>
      <c r="Q285" s="48">
        <f>IF(P285="","",REPT("█",ROUND(P285*20,0))&amp;REPT("░",20-ROUND(P285*20,0)))</f>
        <v/>
      </c>
      <c r="R285" s="48" t="n"/>
    </row>
    <row r="286" ht="22" customHeight="1">
      <c r="A286" s="46" t="n"/>
      <c r="B286" s="46" t="n"/>
      <c r="C286" s="46" t="n"/>
      <c r="D286" s="46" t="n"/>
      <c r="E286" s="46" t="n"/>
      <c r="F286" s="46">
        <f>IF(C286="","",IF(D286="","",IF(C286="Beginner",1,IF(C286="Intermediate",2,IF(C286="Advanced",3,4)))-IF(D286="Beginner",1,IF(D286="Intermediate",2,IF(D286="Advanced",3,4)))))</f>
        <v/>
      </c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64">
        <f>IF(N286="","",IF(M286=0,0,MIN(N286/M286,1)))</f>
        <v/>
      </c>
      <c r="Q286" s="46">
        <f>IF(P286="","",REPT("█",ROUND(P286*20,0))&amp;REPT("░",20-ROUND(P286*20,0)))</f>
        <v/>
      </c>
      <c r="R286" s="46" t="n"/>
    </row>
    <row r="287" ht="22" customHeight="1">
      <c r="A287" s="48" t="n"/>
      <c r="B287" s="48" t="n"/>
      <c r="C287" s="48" t="n"/>
      <c r="D287" s="48" t="n"/>
      <c r="E287" s="48" t="n"/>
      <c r="F287" s="48">
        <f>IF(C287="","",IF(D287="","",IF(C287="Beginner",1,IF(C287="Intermediate",2,IF(C287="Advanced",3,4)))-IF(D287="Beginner",1,IF(D287="Intermediate",2,IF(D287="Advanced",3,4)))))</f>
        <v/>
      </c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65">
        <f>IF(N287="","",IF(M287=0,0,MIN(N287/M287,1)))</f>
        <v/>
      </c>
      <c r="Q287" s="48">
        <f>IF(P287="","",REPT("█",ROUND(P287*20,0))&amp;REPT("░",20-ROUND(P287*20,0)))</f>
        <v/>
      </c>
      <c r="R287" s="48" t="n"/>
    </row>
    <row r="288" ht="22" customHeight="1">
      <c r="A288" s="46" t="n"/>
      <c r="B288" s="46" t="n"/>
      <c r="C288" s="46" t="n"/>
      <c r="D288" s="46" t="n"/>
      <c r="E288" s="46" t="n"/>
      <c r="F288" s="46">
        <f>IF(C288="","",IF(D288="","",IF(C288="Beginner",1,IF(C288="Intermediate",2,IF(C288="Advanced",3,4)))-IF(D288="Beginner",1,IF(D288="Intermediate",2,IF(D288="Advanced",3,4)))))</f>
        <v/>
      </c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64">
        <f>IF(N288="","",IF(M288=0,0,MIN(N288/M288,1)))</f>
        <v/>
      </c>
      <c r="Q288" s="46">
        <f>IF(P288="","",REPT("█",ROUND(P288*20,0))&amp;REPT("░",20-ROUND(P288*20,0)))</f>
        <v/>
      </c>
      <c r="R288" s="46" t="n"/>
    </row>
    <row r="289" ht="22" customHeight="1">
      <c r="A289" s="48" t="n"/>
      <c r="B289" s="48" t="n"/>
      <c r="C289" s="48" t="n"/>
      <c r="D289" s="48" t="n"/>
      <c r="E289" s="48" t="n"/>
      <c r="F289" s="48">
        <f>IF(C289="","",IF(D289="","",IF(C289="Beginner",1,IF(C289="Intermediate",2,IF(C289="Advanced",3,4)))-IF(D289="Beginner",1,IF(D289="Intermediate",2,IF(D289="Advanced",3,4)))))</f>
        <v/>
      </c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65">
        <f>IF(N289="","",IF(M289=0,0,MIN(N289/M289,1)))</f>
        <v/>
      </c>
      <c r="Q289" s="48">
        <f>IF(P289="","",REPT("█",ROUND(P289*20,0))&amp;REPT("░",20-ROUND(P289*20,0)))</f>
        <v/>
      </c>
      <c r="R289" s="48" t="n"/>
    </row>
    <row r="290" ht="22" customHeight="1">
      <c r="A290" s="46" t="n"/>
      <c r="B290" s="46" t="n"/>
      <c r="C290" s="46" t="n"/>
      <c r="D290" s="46" t="n"/>
      <c r="E290" s="46" t="n"/>
      <c r="F290" s="46">
        <f>IF(C290="","",IF(D290="","",IF(C290="Beginner",1,IF(C290="Intermediate",2,IF(C290="Advanced",3,4)))-IF(D290="Beginner",1,IF(D290="Intermediate",2,IF(D290="Advanced",3,4)))))</f>
        <v/>
      </c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64">
        <f>IF(N290="","",IF(M290=0,0,MIN(N290/M290,1)))</f>
        <v/>
      </c>
      <c r="Q290" s="46">
        <f>IF(P290="","",REPT("█",ROUND(P290*20,0))&amp;REPT("░",20-ROUND(P290*20,0)))</f>
        <v/>
      </c>
      <c r="R290" s="46" t="n"/>
    </row>
    <row r="291" ht="22" customHeight="1">
      <c r="A291" s="48" t="n"/>
      <c r="B291" s="48" t="n"/>
      <c r="C291" s="48" t="n"/>
      <c r="D291" s="48" t="n"/>
      <c r="E291" s="48" t="n"/>
      <c r="F291" s="48">
        <f>IF(C291="","",IF(D291="","",IF(C291="Beginner",1,IF(C291="Intermediate",2,IF(C291="Advanced",3,4)))-IF(D291="Beginner",1,IF(D291="Intermediate",2,IF(D291="Advanced",3,4)))))</f>
        <v/>
      </c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65">
        <f>IF(N291="","",IF(M291=0,0,MIN(N291/M291,1)))</f>
        <v/>
      </c>
      <c r="Q291" s="48">
        <f>IF(P291="","",REPT("█",ROUND(P291*20,0))&amp;REPT("░",20-ROUND(P291*20,0)))</f>
        <v/>
      </c>
      <c r="R291" s="48" t="n"/>
    </row>
    <row r="292" ht="22" customHeight="1">
      <c r="A292" s="46" t="n"/>
      <c r="B292" s="46" t="n"/>
      <c r="C292" s="46" t="n"/>
      <c r="D292" s="46" t="n"/>
      <c r="E292" s="46" t="n"/>
      <c r="F292" s="46">
        <f>IF(C292="","",IF(D292="","",IF(C292="Beginner",1,IF(C292="Intermediate",2,IF(C292="Advanced",3,4)))-IF(D292="Beginner",1,IF(D292="Intermediate",2,IF(D292="Advanced",3,4)))))</f>
        <v/>
      </c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64">
        <f>IF(N292="","",IF(M292=0,0,MIN(N292/M292,1)))</f>
        <v/>
      </c>
      <c r="Q292" s="46">
        <f>IF(P292="","",REPT("█",ROUND(P292*20,0))&amp;REPT("░",20-ROUND(P292*20,0)))</f>
        <v/>
      </c>
      <c r="R292" s="46" t="n"/>
    </row>
    <row r="293" ht="22" customHeight="1">
      <c r="A293" s="48" t="n"/>
      <c r="B293" s="48" t="n"/>
      <c r="C293" s="48" t="n"/>
      <c r="D293" s="48" t="n"/>
      <c r="E293" s="48" t="n"/>
      <c r="F293" s="48">
        <f>IF(C293="","",IF(D293="","",IF(C293="Beginner",1,IF(C293="Intermediate",2,IF(C293="Advanced",3,4)))-IF(D293="Beginner",1,IF(D293="Intermediate",2,IF(D293="Advanced",3,4)))))</f>
        <v/>
      </c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65">
        <f>IF(N293="","",IF(M293=0,0,MIN(N293/M293,1)))</f>
        <v/>
      </c>
      <c r="Q293" s="48">
        <f>IF(P293="","",REPT("█",ROUND(P293*20,0))&amp;REPT("░",20-ROUND(P293*20,0)))</f>
        <v/>
      </c>
      <c r="R293" s="48" t="n"/>
    </row>
    <row r="294" ht="22" customHeight="1">
      <c r="A294" s="46" t="n"/>
      <c r="B294" s="46" t="n"/>
      <c r="C294" s="46" t="n"/>
      <c r="D294" s="46" t="n"/>
      <c r="E294" s="46" t="n"/>
      <c r="F294" s="46">
        <f>IF(C294="","",IF(D294="","",IF(C294="Beginner",1,IF(C294="Intermediate",2,IF(C294="Advanced",3,4)))-IF(D294="Beginner",1,IF(D294="Intermediate",2,IF(D294="Advanced",3,4)))))</f>
        <v/>
      </c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64">
        <f>IF(N294="","",IF(M294=0,0,MIN(N294/M294,1)))</f>
        <v/>
      </c>
      <c r="Q294" s="46">
        <f>IF(P294="","",REPT("█",ROUND(P294*20,0))&amp;REPT("░",20-ROUND(P294*20,0)))</f>
        <v/>
      </c>
      <c r="R294" s="46" t="n"/>
    </row>
    <row r="295" ht="22" customHeight="1">
      <c r="A295" s="48" t="n"/>
      <c r="B295" s="48" t="n"/>
      <c r="C295" s="48" t="n"/>
      <c r="D295" s="48" t="n"/>
      <c r="E295" s="48" t="n"/>
      <c r="F295" s="48">
        <f>IF(C295="","",IF(D295="","",IF(C295="Beginner",1,IF(C295="Intermediate",2,IF(C295="Advanced",3,4)))-IF(D295="Beginner",1,IF(D295="Intermediate",2,IF(D295="Advanced",3,4)))))</f>
        <v/>
      </c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65">
        <f>IF(N295="","",IF(M295=0,0,MIN(N295/M295,1)))</f>
        <v/>
      </c>
      <c r="Q295" s="48">
        <f>IF(P295="","",REPT("█",ROUND(P295*20,0))&amp;REPT("░",20-ROUND(P295*20,0)))</f>
        <v/>
      </c>
      <c r="R295" s="48" t="n"/>
    </row>
    <row r="296" ht="22" customHeight="1">
      <c r="A296" s="46" t="n"/>
      <c r="B296" s="46" t="n"/>
      <c r="C296" s="46" t="n"/>
      <c r="D296" s="46" t="n"/>
      <c r="E296" s="46" t="n"/>
      <c r="F296" s="46">
        <f>IF(C296="","",IF(D296="","",IF(C296="Beginner",1,IF(C296="Intermediate",2,IF(C296="Advanced",3,4)))-IF(D296="Beginner",1,IF(D296="Intermediate",2,IF(D296="Advanced",3,4)))))</f>
        <v/>
      </c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64">
        <f>IF(N296="","",IF(M296=0,0,MIN(N296/M296,1)))</f>
        <v/>
      </c>
      <c r="Q296" s="46">
        <f>IF(P296="","",REPT("█",ROUND(P296*20,0))&amp;REPT("░",20-ROUND(P296*20,0)))</f>
        <v/>
      </c>
      <c r="R296" s="46" t="n"/>
    </row>
    <row r="297" ht="22" customHeight="1">
      <c r="A297" s="48" t="n"/>
      <c r="B297" s="48" t="n"/>
      <c r="C297" s="48" t="n"/>
      <c r="D297" s="48" t="n"/>
      <c r="E297" s="48" t="n"/>
      <c r="F297" s="48">
        <f>IF(C297="","",IF(D297="","",IF(C297="Beginner",1,IF(C297="Intermediate",2,IF(C297="Advanced",3,4)))-IF(D297="Beginner",1,IF(D297="Intermediate",2,IF(D297="Advanced",3,4)))))</f>
        <v/>
      </c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65">
        <f>IF(N297="","",IF(M297=0,0,MIN(N297/M297,1)))</f>
        <v/>
      </c>
      <c r="Q297" s="48">
        <f>IF(P297="","",REPT("█",ROUND(P297*20,0))&amp;REPT("░",20-ROUND(P297*20,0)))</f>
        <v/>
      </c>
      <c r="R297" s="48" t="n"/>
    </row>
    <row r="298" ht="22" customHeight="1">
      <c r="A298" s="46" t="n"/>
      <c r="B298" s="46" t="n"/>
      <c r="C298" s="46" t="n"/>
      <c r="D298" s="46" t="n"/>
      <c r="E298" s="46" t="n"/>
      <c r="F298" s="46">
        <f>IF(C298="","",IF(D298="","",IF(C298="Beginner",1,IF(C298="Intermediate",2,IF(C298="Advanced",3,4)))-IF(D298="Beginner",1,IF(D298="Intermediate",2,IF(D298="Advanced",3,4)))))</f>
        <v/>
      </c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64">
        <f>IF(N298="","",IF(M298=0,0,MIN(N298/M298,1)))</f>
        <v/>
      </c>
      <c r="Q298" s="46">
        <f>IF(P298="","",REPT("█",ROUND(P298*20,0))&amp;REPT("░",20-ROUND(P298*20,0)))</f>
        <v/>
      </c>
      <c r="R298" s="46" t="n"/>
    </row>
    <row r="299" ht="22" customHeight="1">
      <c r="A299" s="48" t="n"/>
      <c r="B299" s="48" t="n"/>
      <c r="C299" s="48" t="n"/>
      <c r="D299" s="48" t="n"/>
      <c r="E299" s="48" t="n"/>
      <c r="F299" s="48">
        <f>IF(C299="","",IF(D299="","",IF(C299="Beginner",1,IF(C299="Intermediate",2,IF(C299="Advanced",3,4)))-IF(D299="Beginner",1,IF(D299="Intermediate",2,IF(D299="Advanced",3,4)))))</f>
        <v/>
      </c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65">
        <f>IF(N299="","",IF(M299=0,0,MIN(N299/M299,1)))</f>
        <v/>
      </c>
      <c r="Q299" s="48">
        <f>IF(P299="","",REPT("█",ROUND(P299*20,0))&amp;REPT("░",20-ROUND(P299*20,0)))</f>
        <v/>
      </c>
      <c r="R299" s="48" t="n"/>
    </row>
    <row r="300" ht="22" customHeight="1">
      <c r="A300" s="46" t="n"/>
      <c r="B300" s="46" t="n"/>
      <c r="C300" s="46" t="n"/>
      <c r="D300" s="46" t="n"/>
      <c r="E300" s="46" t="n"/>
      <c r="F300" s="46">
        <f>IF(C300="","",IF(D300="","",IF(C300="Beginner",1,IF(C300="Intermediate",2,IF(C300="Advanced",3,4)))-IF(D300="Beginner",1,IF(D300="Intermediate",2,IF(D300="Advanced",3,4)))))</f>
        <v/>
      </c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64">
        <f>IF(N300="","",IF(M300=0,0,MIN(N300/M300,1)))</f>
        <v/>
      </c>
      <c r="Q300" s="46">
        <f>IF(P300="","",REPT("█",ROUND(P300*20,0))&amp;REPT("░",20-ROUND(P300*20,0)))</f>
        <v/>
      </c>
      <c r="R300" s="46" t="n"/>
    </row>
    <row r="301" ht="22" customHeight="1">
      <c r="A301" s="48" t="n"/>
      <c r="B301" s="48" t="n"/>
      <c r="C301" s="48" t="n"/>
      <c r="D301" s="48" t="n"/>
      <c r="E301" s="48" t="n"/>
      <c r="F301" s="48">
        <f>IF(C301="","",IF(D301="","",IF(C301="Beginner",1,IF(C301="Intermediate",2,IF(C301="Advanced",3,4)))-IF(D301="Beginner",1,IF(D301="Intermediate",2,IF(D301="Advanced",3,4)))))</f>
        <v/>
      </c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65">
        <f>IF(N301="","",IF(M301=0,0,MIN(N301/M301,1)))</f>
        <v/>
      </c>
      <c r="Q301" s="48">
        <f>IF(P301="","",REPT("█",ROUND(P301*20,0))&amp;REPT("░",20-ROUND(P301*20,0)))</f>
        <v/>
      </c>
      <c r="R301" s="48" t="n"/>
    </row>
    <row r="302" ht="22" customHeight="1">
      <c r="A302" s="46" t="n"/>
      <c r="B302" s="46" t="n"/>
      <c r="C302" s="46" t="n"/>
      <c r="D302" s="46" t="n"/>
      <c r="E302" s="46" t="n"/>
      <c r="F302" s="46">
        <f>IF(C302="","",IF(D302="","",IF(C302="Beginner",1,IF(C302="Intermediate",2,IF(C302="Advanced",3,4)))-IF(D302="Beginner",1,IF(D302="Intermediate",2,IF(D302="Advanced",3,4)))))</f>
        <v/>
      </c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64">
        <f>IF(N302="","",IF(M302=0,0,MIN(N302/M302,1)))</f>
        <v/>
      </c>
      <c r="Q302" s="46">
        <f>IF(P302="","",REPT("█",ROUND(P302*20,0))&amp;REPT("░",20-ROUND(P302*20,0)))</f>
        <v/>
      </c>
      <c r="R302" s="46" t="n"/>
    </row>
    <row r="303" ht="22" customHeight="1">
      <c r="A303" s="48" t="n"/>
      <c r="B303" s="48" t="n"/>
      <c r="C303" s="48" t="n"/>
      <c r="D303" s="48" t="n"/>
      <c r="E303" s="48" t="n"/>
      <c r="F303" s="48">
        <f>IF(C303="","",IF(D303="","",IF(C303="Beginner",1,IF(C303="Intermediate",2,IF(C303="Advanced",3,4)))-IF(D303="Beginner",1,IF(D303="Intermediate",2,IF(D303="Advanced",3,4)))))</f>
        <v/>
      </c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65">
        <f>IF(N303="","",IF(M303=0,0,MIN(N303/M303,1)))</f>
        <v/>
      </c>
      <c r="Q303" s="48">
        <f>IF(P303="","",REPT("█",ROUND(P303*20,0))&amp;REPT("░",20-ROUND(P303*20,0)))</f>
        <v/>
      </c>
      <c r="R303" s="48" t="n"/>
    </row>
    <row r="304" ht="22" customHeight="1">
      <c r="A304" s="46" t="n"/>
      <c r="B304" s="46" t="n"/>
      <c r="C304" s="46" t="n"/>
      <c r="D304" s="46" t="n"/>
      <c r="E304" s="46" t="n"/>
      <c r="F304" s="46">
        <f>IF(C304="","",IF(D304="","",IF(C304="Beginner",1,IF(C304="Intermediate",2,IF(C304="Advanced",3,4)))-IF(D304="Beginner",1,IF(D304="Intermediate",2,IF(D304="Advanced",3,4)))))</f>
        <v/>
      </c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64">
        <f>IF(N304="","",IF(M304=0,0,MIN(N304/M304,1)))</f>
        <v/>
      </c>
      <c r="Q304" s="46">
        <f>IF(P304="","",REPT("█",ROUND(P304*20,0))&amp;REPT("░",20-ROUND(P304*20,0)))</f>
        <v/>
      </c>
      <c r="R304" s="46" t="n"/>
    </row>
    <row r="305" ht="22" customHeight="1">
      <c r="A305" s="48" t="n"/>
      <c r="B305" s="48" t="n"/>
      <c r="C305" s="48" t="n"/>
      <c r="D305" s="48" t="n"/>
      <c r="E305" s="48" t="n"/>
      <c r="F305" s="48">
        <f>IF(C305="","",IF(D305="","",IF(C305="Beginner",1,IF(C305="Intermediate",2,IF(C305="Advanced",3,4)))-IF(D305="Beginner",1,IF(D305="Intermediate",2,IF(D305="Advanced",3,4)))))</f>
        <v/>
      </c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65">
        <f>IF(N305="","",IF(M305=0,0,MIN(N305/M305,1)))</f>
        <v/>
      </c>
      <c r="Q305" s="48">
        <f>IF(P305="","",REPT("█",ROUND(P305*20,0))&amp;REPT("░",20-ROUND(P305*20,0)))</f>
        <v/>
      </c>
      <c r="R305" s="48" t="n"/>
    </row>
    <row r="306" ht="22" customHeight="1">
      <c r="A306" s="46" t="n"/>
      <c r="B306" s="46" t="n"/>
      <c r="C306" s="46" t="n"/>
      <c r="D306" s="46" t="n"/>
      <c r="E306" s="46" t="n"/>
      <c r="F306" s="46">
        <f>IF(C306="","",IF(D306="","",IF(C306="Beginner",1,IF(C306="Intermediate",2,IF(C306="Advanced",3,4)))-IF(D306="Beginner",1,IF(D306="Intermediate",2,IF(D306="Advanced",3,4)))))</f>
        <v/>
      </c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64">
        <f>IF(N306="","",IF(M306=0,0,MIN(N306/M306,1)))</f>
        <v/>
      </c>
      <c r="Q306" s="46">
        <f>IF(P306="","",REPT("█",ROUND(P306*20,0))&amp;REPT("░",20-ROUND(P306*20,0)))</f>
        <v/>
      </c>
      <c r="R306" s="46" t="n"/>
    </row>
    <row r="307" ht="22" customHeight="1">
      <c r="A307" s="48" t="n"/>
      <c r="B307" s="48" t="n"/>
      <c r="C307" s="48" t="n"/>
      <c r="D307" s="48" t="n"/>
      <c r="E307" s="48" t="n"/>
      <c r="F307" s="48">
        <f>IF(C307="","",IF(D307="","",IF(C307="Beginner",1,IF(C307="Intermediate",2,IF(C307="Advanced",3,4)))-IF(D307="Beginner",1,IF(D307="Intermediate",2,IF(D307="Advanced",3,4)))))</f>
        <v/>
      </c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65">
        <f>IF(N307="","",IF(M307=0,0,MIN(N307/M307,1)))</f>
        <v/>
      </c>
      <c r="Q307" s="48">
        <f>IF(P307="","",REPT("█",ROUND(P307*20,0))&amp;REPT("░",20-ROUND(P307*20,0)))</f>
        <v/>
      </c>
      <c r="R307" s="48" t="n"/>
    </row>
    <row r="308" ht="22" customHeight="1">
      <c r="A308" s="46" t="n"/>
      <c r="B308" s="46" t="n"/>
      <c r="C308" s="46" t="n"/>
      <c r="D308" s="46" t="n"/>
      <c r="E308" s="46" t="n"/>
      <c r="F308" s="46">
        <f>IF(C308="","",IF(D308="","",IF(C308="Beginner",1,IF(C308="Intermediate",2,IF(C308="Advanced",3,4)))-IF(D308="Beginner",1,IF(D308="Intermediate",2,IF(D308="Advanced",3,4)))))</f>
        <v/>
      </c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64">
        <f>IF(N308="","",IF(M308=0,0,MIN(N308/M308,1)))</f>
        <v/>
      </c>
      <c r="Q308" s="46">
        <f>IF(P308="","",REPT("█",ROUND(P308*20,0))&amp;REPT("░",20-ROUND(P308*20,0)))</f>
        <v/>
      </c>
      <c r="R308" s="46" t="n"/>
    </row>
    <row r="309" ht="22" customHeight="1">
      <c r="A309" s="48" t="n"/>
      <c r="B309" s="48" t="n"/>
      <c r="C309" s="48" t="n"/>
      <c r="D309" s="48" t="n"/>
      <c r="E309" s="48" t="n"/>
      <c r="F309" s="48">
        <f>IF(C309="","",IF(D309="","",IF(C309="Beginner",1,IF(C309="Intermediate",2,IF(C309="Advanced",3,4)))-IF(D309="Beginner",1,IF(D309="Intermediate",2,IF(D309="Advanced",3,4)))))</f>
        <v/>
      </c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65">
        <f>IF(N309="","",IF(M309=0,0,MIN(N309/M309,1)))</f>
        <v/>
      </c>
      <c r="Q309" s="48">
        <f>IF(P309="","",REPT("█",ROUND(P309*20,0))&amp;REPT("░",20-ROUND(P309*20,0)))</f>
        <v/>
      </c>
      <c r="R309" s="48" t="n"/>
    </row>
    <row r="310" ht="22" customHeight="1">
      <c r="A310" s="46" t="n"/>
      <c r="B310" s="46" t="n"/>
      <c r="C310" s="46" t="n"/>
      <c r="D310" s="46" t="n"/>
      <c r="E310" s="46" t="n"/>
      <c r="F310" s="46">
        <f>IF(C310="","",IF(D310="","",IF(C310="Beginner",1,IF(C310="Intermediate",2,IF(C310="Advanced",3,4)))-IF(D310="Beginner",1,IF(D310="Intermediate",2,IF(D310="Advanced",3,4)))))</f>
        <v/>
      </c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64">
        <f>IF(N310="","",IF(M310=0,0,MIN(N310/M310,1)))</f>
        <v/>
      </c>
      <c r="Q310" s="46">
        <f>IF(P310="","",REPT("█",ROUND(P310*20,0))&amp;REPT("░",20-ROUND(P310*20,0)))</f>
        <v/>
      </c>
      <c r="R310" s="46" t="n"/>
    </row>
    <row r="311" ht="22" customHeight="1">
      <c r="A311" s="48" t="n"/>
      <c r="B311" s="48" t="n"/>
      <c r="C311" s="48" t="n"/>
      <c r="D311" s="48" t="n"/>
      <c r="E311" s="48" t="n"/>
      <c r="F311" s="48">
        <f>IF(C311="","",IF(D311="","",IF(C311="Beginner",1,IF(C311="Intermediate",2,IF(C311="Advanced",3,4)))-IF(D311="Beginner",1,IF(D311="Intermediate",2,IF(D311="Advanced",3,4)))))</f>
        <v/>
      </c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65">
        <f>IF(N311="","",IF(M311=0,0,MIN(N311/M311,1)))</f>
        <v/>
      </c>
      <c r="Q311" s="48">
        <f>IF(P311="","",REPT("█",ROUND(P311*20,0))&amp;REPT("░",20-ROUND(P311*20,0)))</f>
        <v/>
      </c>
      <c r="R311" s="48" t="n"/>
    </row>
    <row r="312" ht="22" customHeight="1">
      <c r="A312" s="46" t="n"/>
      <c r="B312" s="46" t="n"/>
      <c r="C312" s="46" t="n"/>
      <c r="D312" s="46" t="n"/>
      <c r="E312" s="46" t="n"/>
      <c r="F312" s="46">
        <f>IF(C312="","",IF(D312="","",IF(C312="Beginner",1,IF(C312="Intermediate",2,IF(C312="Advanced",3,4)))-IF(D312="Beginner",1,IF(D312="Intermediate",2,IF(D312="Advanced",3,4)))))</f>
        <v/>
      </c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64">
        <f>IF(N312="","",IF(M312=0,0,MIN(N312/M312,1)))</f>
        <v/>
      </c>
      <c r="Q312" s="46">
        <f>IF(P312="","",REPT("█",ROUND(P312*20,0))&amp;REPT("░",20-ROUND(P312*20,0)))</f>
        <v/>
      </c>
      <c r="R312" s="46" t="n"/>
    </row>
    <row r="313" ht="22" customHeight="1">
      <c r="A313" s="48" t="n"/>
      <c r="B313" s="48" t="n"/>
      <c r="C313" s="48" t="n"/>
      <c r="D313" s="48" t="n"/>
      <c r="E313" s="48" t="n"/>
      <c r="F313" s="48">
        <f>IF(C313="","",IF(D313="","",IF(C313="Beginner",1,IF(C313="Intermediate",2,IF(C313="Advanced",3,4)))-IF(D313="Beginner",1,IF(D313="Intermediate",2,IF(D313="Advanced",3,4)))))</f>
        <v/>
      </c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65">
        <f>IF(N313="","",IF(M313=0,0,MIN(N313/M313,1)))</f>
        <v/>
      </c>
      <c r="Q313" s="48">
        <f>IF(P313="","",REPT("█",ROUND(P313*20,0))&amp;REPT("░",20-ROUND(P313*20,0)))</f>
        <v/>
      </c>
      <c r="R313" s="48" t="n"/>
    </row>
    <row r="314" ht="22" customHeight="1">
      <c r="A314" s="46" t="n"/>
      <c r="B314" s="46" t="n"/>
      <c r="C314" s="46" t="n"/>
      <c r="D314" s="46" t="n"/>
      <c r="E314" s="46" t="n"/>
      <c r="F314" s="46">
        <f>IF(C314="","",IF(D314="","",IF(C314="Beginner",1,IF(C314="Intermediate",2,IF(C314="Advanced",3,4)))-IF(D314="Beginner",1,IF(D314="Intermediate",2,IF(D314="Advanced",3,4)))))</f>
        <v/>
      </c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64">
        <f>IF(N314="","",IF(M314=0,0,MIN(N314/M314,1)))</f>
        <v/>
      </c>
      <c r="Q314" s="46">
        <f>IF(P314="","",REPT("█",ROUND(P314*20,0))&amp;REPT("░",20-ROUND(P314*20,0)))</f>
        <v/>
      </c>
      <c r="R314" s="46" t="n"/>
    </row>
    <row r="315" ht="22" customHeight="1">
      <c r="A315" s="48" t="n"/>
      <c r="B315" s="48" t="n"/>
      <c r="C315" s="48" t="n"/>
      <c r="D315" s="48" t="n"/>
      <c r="E315" s="48" t="n"/>
      <c r="F315" s="48">
        <f>IF(C315="","",IF(D315="","",IF(C315="Beginner",1,IF(C315="Intermediate",2,IF(C315="Advanced",3,4)))-IF(D315="Beginner",1,IF(D315="Intermediate",2,IF(D315="Advanced",3,4)))))</f>
        <v/>
      </c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65">
        <f>IF(N315="","",IF(M315=0,0,MIN(N315/M315,1)))</f>
        <v/>
      </c>
      <c r="Q315" s="48">
        <f>IF(P315="","",REPT("█",ROUND(P315*20,0))&amp;REPT("░",20-ROUND(P315*20,0)))</f>
        <v/>
      </c>
      <c r="R315" s="48" t="n"/>
    </row>
    <row r="316" ht="22" customHeight="1">
      <c r="A316" s="46" t="n"/>
      <c r="B316" s="46" t="n"/>
      <c r="C316" s="46" t="n"/>
      <c r="D316" s="46" t="n"/>
      <c r="E316" s="46" t="n"/>
      <c r="F316" s="46">
        <f>IF(C316="","",IF(D316="","",IF(C316="Beginner",1,IF(C316="Intermediate",2,IF(C316="Advanced",3,4)))-IF(D316="Beginner",1,IF(D316="Intermediate",2,IF(D316="Advanced",3,4)))))</f>
        <v/>
      </c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64">
        <f>IF(N316="","",IF(M316=0,0,MIN(N316/M316,1)))</f>
        <v/>
      </c>
      <c r="Q316" s="46">
        <f>IF(P316="","",REPT("█",ROUND(P316*20,0))&amp;REPT("░",20-ROUND(P316*20,0)))</f>
        <v/>
      </c>
      <c r="R316" s="46" t="n"/>
    </row>
    <row r="317" ht="22" customHeight="1">
      <c r="A317" s="48" t="n"/>
      <c r="B317" s="48" t="n"/>
      <c r="C317" s="48" t="n"/>
      <c r="D317" s="48" t="n"/>
      <c r="E317" s="48" t="n"/>
      <c r="F317" s="48">
        <f>IF(C317="","",IF(D317="","",IF(C317="Beginner",1,IF(C317="Intermediate",2,IF(C317="Advanced",3,4)))-IF(D317="Beginner",1,IF(D317="Intermediate",2,IF(D317="Advanced",3,4)))))</f>
        <v/>
      </c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65">
        <f>IF(N317="","",IF(M317=0,0,MIN(N317/M317,1)))</f>
        <v/>
      </c>
      <c r="Q317" s="48">
        <f>IF(P317="","",REPT("█",ROUND(P317*20,0))&amp;REPT("░",20-ROUND(P317*20,0)))</f>
        <v/>
      </c>
      <c r="R317" s="48" t="n"/>
    </row>
    <row r="318" ht="22" customHeight="1">
      <c r="A318" s="46" t="n"/>
      <c r="B318" s="46" t="n"/>
      <c r="C318" s="46" t="n"/>
      <c r="D318" s="46" t="n"/>
      <c r="E318" s="46" t="n"/>
      <c r="F318" s="46">
        <f>IF(C318="","",IF(D318="","",IF(C318="Beginner",1,IF(C318="Intermediate",2,IF(C318="Advanced",3,4)))-IF(D318="Beginner",1,IF(D318="Intermediate",2,IF(D318="Advanced",3,4)))))</f>
        <v/>
      </c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64">
        <f>IF(N318="","",IF(M318=0,0,MIN(N318/M318,1)))</f>
        <v/>
      </c>
      <c r="Q318" s="46">
        <f>IF(P318="","",REPT("█",ROUND(P318*20,0))&amp;REPT("░",20-ROUND(P318*20,0)))</f>
        <v/>
      </c>
      <c r="R318" s="46" t="n"/>
    </row>
    <row r="319" ht="22" customHeight="1">
      <c r="A319" s="48" t="n"/>
      <c r="B319" s="48" t="n"/>
      <c r="C319" s="48" t="n"/>
      <c r="D319" s="48" t="n"/>
      <c r="E319" s="48" t="n"/>
      <c r="F319" s="48">
        <f>IF(C319="","",IF(D319="","",IF(C319="Beginner",1,IF(C319="Intermediate",2,IF(C319="Advanced",3,4)))-IF(D319="Beginner",1,IF(D319="Intermediate",2,IF(D319="Advanced",3,4)))))</f>
        <v/>
      </c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65">
        <f>IF(N319="","",IF(M319=0,0,MIN(N319/M319,1)))</f>
        <v/>
      </c>
      <c r="Q319" s="48">
        <f>IF(P319="","",REPT("█",ROUND(P319*20,0))&amp;REPT("░",20-ROUND(P319*20,0)))</f>
        <v/>
      </c>
      <c r="R319" s="48" t="n"/>
    </row>
    <row r="320" ht="22" customHeight="1">
      <c r="A320" s="46" t="n"/>
      <c r="B320" s="46" t="n"/>
      <c r="C320" s="46" t="n"/>
      <c r="D320" s="46" t="n"/>
      <c r="E320" s="46" t="n"/>
      <c r="F320" s="46">
        <f>IF(C320="","",IF(D320="","",IF(C320="Beginner",1,IF(C320="Intermediate",2,IF(C320="Advanced",3,4)))-IF(D320="Beginner",1,IF(D320="Intermediate",2,IF(D320="Advanced",3,4)))))</f>
        <v/>
      </c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64">
        <f>IF(N320="","",IF(M320=0,0,MIN(N320/M320,1)))</f>
        <v/>
      </c>
      <c r="Q320" s="46">
        <f>IF(P320="","",REPT("█",ROUND(P320*20,0))&amp;REPT("░",20-ROUND(P320*20,0)))</f>
        <v/>
      </c>
      <c r="R320" s="46" t="n"/>
    </row>
    <row r="321" ht="22" customHeight="1">
      <c r="A321" s="48" t="n"/>
      <c r="B321" s="48" t="n"/>
      <c r="C321" s="48" t="n"/>
      <c r="D321" s="48" t="n"/>
      <c r="E321" s="48" t="n"/>
      <c r="F321" s="48">
        <f>IF(C321="","",IF(D321="","",IF(C321="Beginner",1,IF(C321="Intermediate",2,IF(C321="Advanced",3,4)))-IF(D321="Beginner",1,IF(D321="Intermediate",2,IF(D321="Advanced",3,4)))))</f>
        <v/>
      </c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65">
        <f>IF(N321="","",IF(M321=0,0,MIN(N321/M321,1)))</f>
        <v/>
      </c>
      <c r="Q321" s="48">
        <f>IF(P321="","",REPT("█",ROUND(P321*20,0))&amp;REPT("░",20-ROUND(P321*20,0)))</f>
        <v/>
      </c>
      <c r="R321" s="48" t="n"/>
    </row>
    <row r="322" ht="22" customHeight="1">
      <c r="A322" s="46" t="n"/>
      <c r="B322" s="46" t="n"/>
      <c r="C322" s="46" t="n"/>
      <c r="D322" s="46" t="n"/>
      <c r="E322" s="46" t="n"/>
      <c r="F322" s="46">
        <f>IF(C322="","",IF(D322="","",IF(C322="Beginner",1,IF(C322="Intermediate",2,IF(C322="Advanced",3,4)))-IF(D322="Beginner",1,IF(D322="Intermediate",2,IF(D322="Advanced",3,4)))))</f>
        <v/>
      </c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64">
        <f>IF(N322="","",IF(M322=0,0,MIN(N322/M322,1)))</f>
        <v/>
      </c>
      <c r="Q322" s="46">
        <f>IF(P322="","",REPT("█",ROUND(P322*20,0))&amp;REPT("░",20-ROUND(P322*20,0)))</f>
        <v/>
      </c>
      <c r="R322" s="46" t="n"/>
    </row>
    <row r="323" ht="22" customHeight="1">
      <c r="A323" s="48" t="n"/>
      <c r="B323" s="48" t="n"/>
      <c r="C323" s="48" t="n"/>
      <c r="D323" s="48" t="n"/>
      <c r="E323" s="48" t="n"/>
      <c r="F323" s="48">
        <f>IF(C323="","",IF(D323="","",IF(C323="Beginner",1,IF(C323="Intermediate",2,IF(C323="Advanced",3,4)))-IF(D323="Beginner",1,IF(D323="Intermediate",2,IF(D323="Advanced",3,4)))))</f>
        <v/>
      </c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65">
        <f>IF(N323="","",IF(M323=0,0,MIN(N323/M323,1)))</f>
        <v/>
      </c>
      <c r="Q323" s="48">
        <f>IF(P323="","",REPT("█",ROUND(P323*20,0))&amp;REPT("░",20-ROUND(P323*20,0)))</f>
        <v/>
      </c>
      <c r="R323" s="48" t="n"/>
    </row>
    <row r="324" ht="22" customHeight="1">
      <c r="A324" s="46" t="n"/>
      <c r="B324" s="46" t="n"/>
      <c r="C324" s="46" t="n"/>
      <c r="D324" s="46" t="n"/>
      <c r="E324" s="46" t="n"/>
      <c r="F324" s="46">
        <f>IF(C324="","",IF(D324="","",IF(C324="Beginner",1,IF(C324="Intermediate",2,IF(C324="Advanced",3,4)))-IF(D324="Beginner",1,IF(D324="Intermediate",2,IF(D324="Advanced",3,4)))))</f>
        <v/>
      </c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64">
        <f>IF(N324="","",IF(M324=0,0,MIN(N324/M324,1)))</f>
        <v/>
      </c>
      <c r="Q324" s="46">
        <f>IF(P324="","",REPT("█",ROUND(P324*20,0))&amp;REPT("░",20-ROUND(P324*20,0)))</f>
        <v/>
      </c>
      <c r="R324" s="46" t="n"/>
    </row>
    <row r="325" ht="22" customHeight="1">
      <c r="A325" s="48" t="n"/>
      <c r="B325" s="48" t="n"/>
      <c r="C325" s="48" t="n"/>
      <c r="D325" s="48" t="n"/>
      <c r="E325" s="48" t="n"/>
      <c r="F325" s="48">
        <f>IF(C325="","",IF(D325="","",IF(C325="Beginner",1,IF(C325="Intermediate",2,IF(C325="Advanced",3,4)))-IF(D325="Beginner",1,IF(D325="Intermediate",2,IF(D325="Advanced",3,4)))))</f>
        <v/>
      </c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65">
        <f>IF(N325="","",IF(M325=0,0,MIN(N325/M325,1)))</f>
        <v/>
      </c>
      <c r="Q325" s="48">
        <f>IF(P325="","",REPT("█",ROUND(P325*20,0))&amp;REPT("░",20-ROUND(P325*20,0)))</f>
        <v/>
      </c>
      <c r="R325" s="48" t="n"/>
    </row>
    <row r="326" ht="22" customHeight="1">
      <c r="A326" s="46" t="n"/>
      <c r="B326" s="46" t="n"/>
      <c r="C326" s="46" t="n"/>
      <c r="D326" s="46" t="n"/>
      <c r="E326" s="46" t="n"/>
      <c r="F326" s="46">
        <f>IF(C326="","",IF(D326="","",IF(C326="Beginner",1,IF(C326="Intermediate",2,IF(C326="Advanced",3,4)))-IF(D326="Beginner",1,IF(D326="Intermediate",2,IF(D326="Advanced",3,4)))))</f>
        <v/>
      </c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64">
        <f>IF(N326="","",IF(M326=0,0,MIN(N326/M326,1)))</f>
        <v/>
      </c>
      <c r="Q326" s="46">
        <f>IF(P326="","",REPT("█",ROUND(P326*20,0))&amp;REPT("░",20-ROUND(P326*20,0)))</f>
        <v/>
      </c>
      <c r="R326" s="46" t="n"/>
    </row>
    <row r="327" ht="22" customHeight="1">
      <c r="A327" s="48" t="n"/>
      <c r="B327" s="48" t="n"/>
      <c r="C327" s="48" t="n"/>
      <c r="D327" s="48" t="n"/>
      <c r="E327" s="48" t="n"/>
      <c r="F327" s="48">
        <f>IF(C327="","",IF(D327="","",IF(C327="Beginner",1,IF(C327="Intermediate",2,IF(C327="Advanced",3,4)))-IF(D327="Beginner",1,IF(D327="Intermediate",2,IF(D327="Advanced",3,4)))))</f>
        <v/>
      </c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65">
        <f>IF(N327="","",IF(M327=0,0,MIN(N327/M327,1)))</f>
        <v/>
      </c>
      <c r="Q327" s="48">
        <f>IF(P327="","",REPT("█",ROUND(P327*20,0))&amp;REPT("░",20-ROUND(P327*20,0)))</f>
        <v/>
      </c>
      <c r="R327" s="48" t="n"/>
    </row>
    <row r="328" ht="22" customHeight="1">
      <c r="A328" s="46" t="n"/>
      <c r="B328" s="46" t="n"/>
      <c r="C328" s="46" t="n"/>
      <c r="D328" s="46" t="n"/>
      <c r="E328" s="46" t="n"/>
      <c r="F328" s="46">
        <f>IF(C328="","",IF(D328="","",IF(C328="Beginner",1,IF(C328="Intermediate",2,IF(C328="Advanced",3,4)))-IF(D328="Beginner",1,IF(D328="Intermediate",2,IF(D328="Advanced",3,4)))))</f>
        <v/>
      </c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64">
        <f>IF(N328="","",IF(M328=0,0,MIN(N328/M328,1)))</f>
        <v/>
      </c>
      <c r="Q328" s="46">
        <f>IF(P328="","",REPT("█",ROUND(P328*20,0))&amp;REPT("░",20-ROUND(P328*20,0)))</f>
        <v/>
      </c>
      <c r="R328" s="46" t="n"/>
    </row>
    <row r="329" ht="22" customHeight="1">
      <c r="A329" s="48" t="n"/>
      <c r="B329" s="48" t="n"/>
      <c r="C329" s="48" t="n"/>
      <c r="D329" s="48" t="n"/>
      <c r="E329" s="48" t="n"/>
      <c r="F329" s="48">
        <f>IF(C329="","",IF(D329="","",IF(C329="Beginner",1,IF(C329="Intermediate",2,IF(C329="Advanced",3,4)))-IF(D329="Beginner",1,IF(D329="Intermediate",2,IF(D329="Advanced",3,4)))))</f>
        <v/>
      </c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65">
        <f>IF(N329="","",IF(M329=0,0,MIN(N329/M329,1)))</f>
        <v/>
      </c>
      <c r="Q329" s="48">
        <f>IF(P329="","",REPT("█",ROUND(P329*20,0))&amp;REPT("░",20-ROUND(P329*20,0)))</f>
        <v/>
      </c>
      <c r="R329" s="48" t="n"/>
    </row>
    <row r="330" ht="22" customHeight="1">
      <c r="A330" s="46" t="n"/>
      <c r="B330" s="46" t="n"/>
      <c r="C330" s="46" t="n"/>
      <c r="D330" s="46" t="n"/>
      <c r="E330" s="46" t="n"/>
      <c r="F330" s="46">
        <f>IF(C330="","",IF(D330="","",IF(C330="Beginner",1,IF(C330="Intermediate",2,IF(C330="Advanced",3,4)))-IF(D330="Beginner",1,IF(D330="Intermediate",2,IF(D330="Advanced",3,4)))))</f>
        <v/>
      </c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64">
        <f>IF(N330="","",IF(M330=0,0,MIN(N330/M330,1)))</f>
        <v/>
      </c>
      <c r="Q330" s="46">
        <f>IF(P330="","",REPT("█",ROUND(P330*20,0))&amp;REPT("░",20-ROUND(P330*20,0)))</f>
        <v/>
      </c>
      <c r="R330" s="46" t="n"/>
    </row>
    <row r="331" ht="22" customHeight="1">
      <c r="A331" s="48" t="n"/>
      <c r="B331" s="48" t="n"/>
      <c r="C331" s="48" t="n"/>
      <c r="D331" s="48" t="n"/>
      <c r="E331" s="48" t="n"/>
      <c r="F331" s="48">
        <f>IF(C331="","",IF(D331="","",IF(C331="Beginner",1,IF(C331="Intermediate",2,IF(C331="Advanced",3,4)))-IF(D331="Beginner",1,IF(D331="Intermediate",2,IF(D331="Advanced",3,4)))))</f>
        <v/>
      </c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65">
        <f>IF(N331="","",IF(M331=0,0,MIN(N331/M331,1)))</f>
        <v/>
      </c>
      <c r="Q331" s="48">
        <f>IF(P331="","",REPT("█",ROUND(P331*20,0))&amp;REPT("░",20-ROUND(P331*20,0)))</f>
        <v/>
      </c>
      <c r="R331" s="48" t="n"/>
    </row>
    <row r="332" ht="22" customHeight="1">
      <c r="A332" s="46" t="n"/>
      <c r="B332" s="46" t="n"/>
      <c r="C332" s="46" t="n"/>
      <c r="D332" s="46" t="n"/>
      <c r="E332" s="46" t="n"/>
      <c r="F332" s="46">
        <f>IF(C332="","",IF(D332="","",IF(C332="Beginner",1,IF(C332="Intermediate",2,IF(C332="Advanced",3,4)))-IF(D332="Beginner",1,IF(D332="Intermediate",2,IF(D332="Advanced",3,4)))))</f>
        <v/>
      </c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64">
        <f>IF(N332="","",IF(M332=0,0,MIN(N332/M332,1)))</f>
        <v/>
      </c>
      <c r="Q332" s="46">
        <f>IF(P332="","",REPT("█",ROUND(P332*20,0))&amp;REPT("░",20-ROUND(P332*20,0)))</f>
        <v/>
      </c>
      <c r="R332" s="46" t="n"/>
    </row>
    <row r="333" ht="22" customHeight="1">
      <c r="A333" s="48" t="n"/>
      <c r="B333" s="48" t="n"/>
      <c r="C333" s="48" t="n"/>
      <c r="D333" s="48" t="n"/>
      <c r="E333" s="48" t="n"/>
      <c r="F333" s="48">
        <f>IF(C333="","",IF(D333="","",IF(C333="Beginner",1,IF(C333="Intermediate",2,IF(C333="Advanced",3,4)))-IF(D333="Beginner",1,IF(D333="Intermediate",2,IF(D333="Advanced",3,4)))))</f>
        <v/>
      </c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65">
        <f>IF(N333="","",IF(M333=0,0,MIN(N333/M333,1)))</f>
        <v/>
      </c>
      <c r="Q333" s="48">
        <f>IF(P333="","",REPT("█",ROUND(P333*20,0))&amp;REPT("░",20-ROUND(P333*20,0)))</f>
        <v/>
      </c>
      <c r="R333" s="48" t="n"/>
    </row>
    <row r="334" ht="22" customHeight="1">
      <c r="A334" s="46" t="n"/>
      <c r="B334" s="46" t="n"/>
      <c r="C334" s="46" t="n"/>
      <c r="D334" s="46" t="n"/>
      <c r="E334" s="46" t="n"/>
      <c r="F334" s="46">
        <f>IF(C334="","",IF(D334="","",IF(C334="Beginner",1,IF(C334="Intermediate",2,IF(C334="Advanced",3,4)))-IF(D334="Beginner",1,IF(D334="Intermediate",2,IF(D334="Advanced",3,4)))))</f>
        <v/>
      </c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64">
        <f>IF(N334="","",IF(M334=0,0,MIN(N334/M334,1)))</f>
        <v/>
      </c>
      <c r="Q334" s="46">
        <f>IF(P334="","",REPT("█",ROUND(P334*20,0))&amp;REPT("░",20-ROUND(P334*20,0)))</f>
        <v/>
      </c>
      <c r="R334" s="46" t="n"/>
    </row>
    <row r="335" ht="22" customHeight="1">
      <c r="A335" s="48" t="n"/>
      <c r="B335" s="48" t="n"/>
      <c r="C335" s="48" t="n"/>
      <c r="D335" s="48" t="n"/>
      <c r="E335" s="48" t="n"/>
      <c r="F335" s="48">
        <f>IF(C335="","",IF(D335="","",IF(C335="Beginner",1,IF(C335="Intermediate",2,IF(C335="Advanced",3,4)))-IF(D335="Beginner",1,IF(D335="Intermediate",2,IF(D335="Advanced",3,4)))))</f>
        <v/>
      </c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65">
        <f>IF(N335="","",IF(M335=0,0,MIN(N335/M335,1)))</f>
        <v/>
      </c>
      <c r="Q335" s="48">
        <f>IF(P335="","",REPT("█",ROUND(P335*20,0))&amp;REPT("░",20-ROUND(P335*20,0)))</f>
        <v/>
      </c>
      <c r="R335" s="48" t="n"/>
    </row>
    <row r="336" ht="22" customHeight="1">
      <c r="A336" s="46" t="n"/>
      <c r="B336" s="46" t="n"/>
      <c r="C336" s="46" t="n"/>
      <c r="D336" s="46" t="n"/>
      <c r="E336" s="46" t="n"/>
      <c r="F336" s="46">
        <f>IF(C336="","",IF(D336="","",IF(C336="Beginner",1,IF(C336="Intermediate",2,IF(C336="Advanced",3,4)))-IF(D336="Beginner",1,IF(D336="Intermediate",2,IF(D336="Advanced",3,4)))))</f>
        <v/>
      </c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64">
        <f>IF(N336="","",IF(M336=0,0,MIN(N336/M336,1)))</f>
        <v/>
      </c>
      <c r="Q336" s="46">
        <f>IF(P336="","",REPT("█",ROUND(P336*20,0))&amp;REPT("░",20-ROUND(P336*20,0)))</f>
        <v/>
      </c>
      <c r="R336" s="46" t="n"/>
    </row>
    <row r="337" ht="22" customHeight="1">
      <c r="A337" s="48" t="n"/>
      <c r="B337" s="48" t="n"/>
      <c r="C337" s="48" t="n"/>
      <c r="D337" s="48" t="n"/>
      <c r="E337" s="48" t="n"/>
      <c r="F337" s="48">
        <f>IF(C337="","",IF(D337="","",IF(C337="Beginner",1,IF(C337="Intermediate",2,IF(C337="Advanced",3,4)))-IF(D337="Beginner",1,IF(D337="Intermediate",2,IF(D337="Advanced",3,4)))))</f>
        <v/>
      </c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65">
        <f>IF(N337="","",IF(M337=0,0,MIN(N337/M337,1)))</f>
        <v/>
      </c>
      <c r="Q337" s="48">
        <f>IF(P337="","",REPT("█",ROUND(P337*20,0))&amp;REPT("░",20-ROUND(P337*20,0)))</f>
        <v/>
      </c>
      <c r="R337" s="48" t="n"/>
    </row>
    <row r="338" ht="22" customHeight="1">
      <c r="A338" s="46" t="n"/>
      <c r="B338" s="46" t="n"/>
      <c r="C338" s="46" t="n"/>
      <c r="D338" s="46" t="n"/>
      <c r="E338" s="46" t="n"/>
      <c r="F338" s="46">
        <f>IF(C338="","",IF(D338="","",IF(C338="Beginner",1,IF(C338="Intermediate",2,IF(C338="Advanced",3,4)))-IF(D338="Beginner",1,IF(D338="Intermediate",2,IF(D338="Advanced",3,4)))))</f>
        <v/>
      </c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64">
        <f>IF(N338="","",IF(M338=0,0,MIN(N338/M338,1)))</f>
        <v/>
      </c>
      <c r="Q338" s="46">
        <f>IF(P338="","",REPT("█",ROUND(P338*20,0))&amp;REPT("░",20-ROUND(P338*20,0)))</f>
        <v/>
      </c>
      <c r="R338" s="46" t="n"/>
    </row>
    <row r="339" ht="22" customHeight="1">
      <c r="A339" s="48" t="n"/>
      <c r="B339" s="48" t="n"/>
      <c r="C339" s="48" t="n"/>
      <c r="D339" s="48" t="n"/>
      <c r="E339" s="48" t="n"/>
      <c r="F339" s="48">
        <f>IF(C339="","",IF(D339="","",IF(C339="Beginner",1,IF(C339="Intermediate",2,IF(C339="Advanced",3,4)))-IF(D339="Beginner",1,IF(D339="Intermediate",2,IF(D339="Advanced",3,4)))))</f>
        <v/>
      </c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65">
        <f>IF(N339="","",IF(M339=0,0,MIN(N339/M339,1)))</f>
        <v/>
      </c>
      <c r="Q339" s="48">
        <f>IF(P339="","",REPT("█",ROUND(P339*20,0))&amp;REPT("░",20-ROUND(P339*20,0)))</f>
        <v/>
      </c>
      <c r="R339" s="48" t="n"/>
    </row>
    <row r="340" ht="22" customHeight="1">
      <c r="A340" s="46" t="n"/>
      <c r="B340" s="46" t="n"/>
      <c r="C340" s="46" t="n"/>
      <c r="D340" s="46" t="n"/>
      <c r="E340" s="46" t="n"/>
      <c r="F340" s="46">
        <f>IF(C340="","",IF(D340="","",IF(C340="Beginner",1,IF(C340="Intermediate",2,IF(C340="Advanced",3,4)))-IF(D340="Beginner",1,IF(D340="Intermediate",2,IF(D340="Advanced",3,4)))))</f>
        <v/>
      </c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64">
        <f>IF(N340="","",IF(M340=0,0,MIN(N340/M340,1)))</f>
        <v/>
      </c>
      <c r="Q340" s="46">
        <f>IF(P340="","",REPT("█",ROUND(P340*20,0))&amp;REPT("░",20-ROUND(P340*20,0)))</f>
        <v/>
      </c>
      <c r="R340" s="46" t="n"/>
    </row>
    <row r="341" ht="22" customHeight="1">
      <c r="A341" s="48" t="n"/>
      <c r="B341" s="48" t="n"/>
      <c r="C341" s="48" t="n"/>
      <c r="D341" s="48" t="n"/>
      <c r="E341" s="48" t="n"/>
      <c r="F341" s="48">
        <f>IF(C341="","",IF(D341="","",IF(C341="Beginner",1,IF(C341="Intermediate",2,IF(C341="Advanced",3,4)))-IF(D341="Beginner",1,IF(D341="Intermediate",2,IF(D341="Advanced",3,4)))))</f>
        <v/>
      </c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65">
        <f>IF(N341="","",IF(M341=0,0,MIN(N341/M341,1)))</f>
        <v/>
      </c>
      <c r="Q341" s="48">
        <f>IF(P341="","",REPT("█",ROUND(P341*20,0))&amp;REPT("░",20-ROUND(P341*20,0)))</f>
        <v/>
      </c>
      <c r="R341" s="48" t="n"/>
    </row>
    <row r="342" ht="22" customHeight="1">
      <c r="A342" s="46" t="n"/>
      <c r="B342" s="46" t="n"/>
      <c r="C342" s="46" t="n"/>
      <c r="D342" s="46" t="n"/>
      <c r="E342" s="46" t="n"/>
      <c r="F342" s="46">
        <f>IF(C342="","",IF(D342="","",IF(C342="Beginner",1,IF(C342="Intermediate",2,IF(C342="Advanced",3,4)))-IF(D342="Beginner",1,IF(D342="Intermediate",2,IF(D342="Advanced",3,4)))))</f>
        <v/>
      </c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64">
        <f>IF(N342="","",IF(M342=0,0,MIN(N342/M342,1)))</f>
        <v/>
      </c>
      <c r="Q342" s="46">
        <f>IF(P342="","",REPT("█",ROUND(P342*20,0))&amp;REPT("░",20-ROUND(P342*20,0)))</f>
        <v/>
      </c>
      <c r="R342" s="46" t="n"/>
    </row>
    <row r="343" ht="22" customHeight="1">
      <c r="A343" s="48" t="n"/>
      <c r="B343" s="48" t="n"/>
      <c r="C343" s="48" t="n"/>
      <c r="D343" s="48" t="n"/>
      <c r="E343" s="48" t="n"/>
      <c r="F343" s="48">
        <f>IF(C343="","",IF(D343="","",IF(C343="Beginner",1,IF(C343="Intermediate",2,IF(C343="Advanced",3,4)))-IF(D343="Beginner",1,IF(D343="Intermediate",2,IF(D343="Advanced",3,4)))))</f>
        <v/>
      </c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65">
        <f>IF(N343="","",IF(M343=0,0,MIN(N343/M343,1)))</f>
        <v/>
      </c>
      <c r="Q343" s="48">
        <f>IF(P343="","",REPT("█",ROUND(P343*20,0))&amp;REPT("░",20-ROUND(P343*20,0)))</f>
        <v/>
      </c>
      <c r="R343" s="48" t="n"/>
    </row>
    <row r="344" ht="22" customHeight="1">
      <c r="A344" s="46" t="n"/>
      <c r="B344" s="46" t="n"/>
      <c r="C344" s="46" t="n"/>
      <c r="D344" s="46" t="n"/>
      <c r="E344" s="46" t="n"/>
      <c r="F344" s="46">
        <f>IF(C344="","",IF(D344="","",IF(C344="Beginner",1,IF(C344="Intermediate",2,IF(C344="Advanced",3,4)))-IF(D344="Beginner",1,IF(D344="Intermediate",2,IF(D344="Advanced",3,4)))))</f>
        <v/>
      </c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64">
        <f>IF(N344="","",IF(M344=0,0,MIN(N344/M344,1)))</f>
        <v/>
      </c>
      <c r="Q344" s="46">
        <f>IF(P344="","",REPT("█",ROUND(P344*20,0))&amp;REPT("░",20-ROUND(P344*20,0)))</f>
        <v/>
      </c>
      <c r="R344" s="46" t="n"/>
    </row>
    <row r="345" ht="22" customHeight="1">
      <c r="A345" s="48" t="n"/>
      <c r="B345" s="48" t="n"/>
      <c r="C345" s="48" t="n"/>
      <c r="D345" s="48" t="n"/>
      <c r="E345" s="48" t="n"/>
      <c r="F345" s="48">
        <f>IF(C345="","",IF(D345="","",IF(C345="Beginner",1,IF(C345="Intermediate",2,IF(C345="Advanced",3,4)))-IF(D345="Beginner",1,IF(D345="Intermediate",2,IF(D345="Advanced",3,4)))))</f>
        <v/>
      </c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65">
        <f>IF(N345="","",IF(M345=0,0,MIN(N345/M345,1)))</f>
        <v/>
      </c>
      <c r="Q345" s="48">
        <f>IF(P345="","",REPT("█",ROUND(P345*20,0))&amp;REPT("░",20-ROUND(P345*20,0)))</f>
        <v/>
      </c>
      <c r="R345" s="48" t="n"/>
    </row>
    <row r="346" ht="22" customHeight="1">
      <c r="A346" s="46" t="n"/>
      <c r="B346" s="46" t="n"/>
      <c r="C346" s="46" t="n"/>
      <c r="D346" s="46" t="n"/>
      <c r="E346" s="46" t="n"/>
      <c r="F346" s="46">
        <f>IF(C346="","",IF(D346="","",IF(C346="Beginner",1,IF(C346="Intermediate",2,IF(C346="Advanced",3,4)))-IF(D346="Beginner",1,IF(D346="Intermediate",2,IF(D346="Advanced",3,4)))))</f>
        <v/>
      </c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64">
        <f>IF(N346="","",IF(M346=0,0,MIN(N346/M346,1)))</f>
        <v/>
      </c>
      <c r="Q346" s="46">
        <f>IF(P346="","",REPT("█",ROUND(P346*20,0))&amp;REPT("░",20-ROUND(P346*20,0)))</f>
        <v/>
      </c>
      <c r="R346" s="46" t="n"/>
    </row>
    <row r="347" ht="22" customHeight="1">
      <c r="A347" s="48" t="n"/>
      <c r="B347" s="48" t="n"/>
      <c r="C347" s="48" t="n"/>
      <c r="D347" s="48" t="n"/>
      <c r="E347" s="48" t="n"/>
      <c r="F347" s="48">
        <f>IF(C347="","",IF(D347="","",IF(C347="Beginner",1,IF(C347="Intermediate",2,IF(C347="Advanced",3,4)))-IF(D347="Beginner",1,IF(D347="Intermediate",2,IF(D347="Advanced",3,4)))))</f>
        <v/>
      </c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65">
        <f>IF(N347="","",IF(M347=0,0,MIN(N347/M347,1)))</f>
        <v/>
      </c>
      <c r="Q347" s="48">
        <f>IF(P347="","",REPT("█",ROUND(P347*20,0))&amp;REPT("░",20-ROUND(P347*20,0)))</f>
        <v/>
      </c>
      <c r="R347" s="48" t="n"/>
    </row>
    <row r="348" ht="22" customHeight="1">
      <c r="A348" s="46" t="n"/>
      <c r="B348" s="46" t="n"/>
      <c r="C348" s="46" t="n"/>
      <c r="D348" s="46" t="n"/>
      <c r="E348" s="46" t="n"/>
      <c r="F348" s="46">
        <f>IF(C348="","",IF(D348="","",IF(C348="Beginner",1,IF(C348="Intermediate",2,IF(C348="Advanced",3,4)))-IF(D348="Beginner",1,IF(D348="Intermediate",2,IF(D348="Advanced",3,4)))))</f>
        <v/>
      </c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64">
        <f>IF(N348="","",IF(M348=0,0,MIN(N348/M348,1)))</f>
        <v/>
      </c>
      <c r="Q348" s="46">
        <f>IF(P348="","",REPT("█",ROUND(P348*20,0))&amp;REPT("░",20-ROUND(P348*20,0)))</f>
        <v/>
      </c>
      <c r="R348" s="46" t="n"/>
    </row>
    <row r="349" ht="22" customHeight="1">
      <c r="A349" s="48" t="n"/>
      <c r="B349" s="48" t="n"/>
      <c r="C349" s="48" t="n"/>
      <c r="D349" s="48" t="n"/>
      <c r="E349" s="48" t="n"/>
      <c r="F349" s="48">
        <f>IF(C349="","",IF(D349="","",IF(C349="Beginner",1,IF(C349="Intermediate",2,IF(C349="Advanced",3,4)))-IF(D349="Beginner",1,IF(D349="Intermediate",2,IF(D349="Advanced",3,4)))))</f>
        <v/>
      </c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65">
        <f>IF(N349="","",IF(M349=0,0,MIN(N349/M349,1)))</f>
        <v/>
      </c>
      <c r="Q349" s="48">
        <f>IF(P349="","",REPT("█",ROUND(P349*20,0))&amp;REPT("░",20-ROUND(P349*20,0)))</f>
        <v/>
      </c>
      <c r="R349" s="48" t="n"/>
    </row>
    <row r="350" ht="22" customHeight="1">
      <c r="A350" s="46" t="n"/>
      <c r="B350" s="46" t="n"/>
      <c r="C350" s="46" t="n"/>
      <c r="D350" s="46" t="n"/>
      <c r="E350" s="46" t="n"/>
      <c r="F350" s="46">
        <f>IF(C350="","",IF(D350="","",IF(C350="Beginner",1,IF(C350="Intermediate",2,IF(C350="Advanced",3,4)))-IF(D350="Beginner",1,IF(D350="Intermediate",2,IF(D350="Advanced",3,4)))))</f>
        <v/>
      </c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64">
        <f>IF(N350="","",IF(M350=0,0,MIN(N350/M350,1)))</f>
        <v/>
      </c>
      <c r="Q350" s="46">
        <f>IF(P350="","",REPT("█",ROUND(P350*20,0))&amp;REPT("░",20-ROUND(P350*20,0)))</f>
        <v/>
      </c>
      <c r="R350" s="46" t="n"/>
    </row>
    <row r="351" ht="22" customHeight="1">
      <c r="A351" s="48" t="n"/>
      <c r="B351" s="48" t="n"/>
      <c r="C351" s="48" t="n"/>
      <c r="D351" s="48" t="n"/>
      <c r="E351" s="48" t="n"/>
      <c r="F351" s="48">
        <f>IF(C351="","",IF(D351="","",IF(C351="Beginner",1,IF(C351="Intermediate",2,IF(C351="Advanced",3,4)))-IF(D351="Beginner",1,IF(D351="Intermediate",2,IF(D351="Advanced",3,4)))))</f>
        <v/>
      </c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65">
        <f>IF(N351="","",IF(M351=0,0,MIN(N351/M351,1)))</f>
        <v/>
      </c>
      <c r="Q351" s="48">
        <f>IF(P351="","",REPT("█",ROUND(P351*20,0))&amp;REPT("░",20-ROUND(P351*20,0)))</f>
        <v/>
      </c>
      <c r="R351" s="48" t="n"/>
    </row>
    <row r="352" ht="22" customHeight="1">
      <c r="A352" s="46" t="n"/>
      <c r="B352" s="46" t="n"/>
      <c r="C352" s="46" t="n"/>
      <c r="D352" s="46" t="n"/>
      <c r="E352" s="46" t="n"/>
      <c r="F352" s="46">
        <f>IF(C352="","",IF(D352="","",IF(C352="Beginner",1,IF(C352="Intermediate",2,IF(C352="Advanced",3,4)))-IF(D352="Beginner",1,IF(D352="Intermediate",2,IF(D352="Advanced",3,4)))))</f>
        <v/>
      </c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64">
        <f>IF(N352="","",IF(M352=0,0,MIN(N352/M352,1)))</f>
        <v/>
      </c>
      <c r="Q352" s="46">
        <f>IF(P352="","",REPT("█",ROUND(P352*20,0))&amp;REPT("░",20-ROUND(P352*20,0)))</f>
        <v/>
      </c>
      <c r="R352" s="46" t="n"/>
    </row>
    <row r="353" ht="22" customHeight="1">
      <c r="A353" s="48" t="n"/>
      <c r="B353" s="48" t="n"/>
      <c r="C353" s="48" t="n"/>
      <c r="D353" s="48" t="n"/>
      <c r="E353" s="48" t="n"/>
      <c r="F353" s="48">
        <f>IF(C353="","",IF(D353="","",IF(C353="Beginner",1,IF(C353="Intermediate",2,IF(C353="Advanced",3,4)))-IF(D353="Beginner",1,IF(D353="Intermediate",2,IF(D353="Advanced",3,4)))))</f>
        <v/>
      </c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65">
        <f>IF(N353="","",IF(M353=0,0,MIN(N353/M353,1)))</f>
        <v/>
      </c>
      <c r="Q353" s="48">
        <f>IF(P353="","",REPT("█",ROUND(P353*20,0))&amp;REPT("░",20-ROUND(P353*20,0)))</f>
        <v/>
      </c>
      <c r="R353" s="48" t="n"/>
    </row>
    <row r="354" ht="22" customHeight="1">
      <c r="A354" s="46" t="n"/>
      <c r="B354" s="46" t="n"/>
      <c r="C354" s="46" t="n"/>
      <c r="D354" s="46" t="n"/>
      <c r="E354" s="46" t="n"/>
      <c r="F354" s="46">
        <f>IF(C354="","",IF(D354="","",IF(C354="Beginner",1,IF(C354="Intermediate",2,IF(C354="Advanced",3,4)))-IF(D354="Beginner",1,IF(D354="Intermediate",2,IF(D354="Advanced",3,4)))))</f>
        <v/>
      </c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64">
        <f>IF(N354="","",IF(M354=0,0,MIN(N354/M354,1)))</f>
        <v/>
      </c>
      <c r="Q354" s="46">
        <f>IF(P354="","",REPT("█",ROUND(P354*20,0))&amp;REPT("░",20-ROUND(P354*20,0)))</f>
        <v/>
      </c>
      <c r="R354" s="46" t="n"/>
    </row>
    <row r="355" ht="22" customHeight="1">
      <c r="A355" s="48" t="n"/>
      <c r="B355" s="48" t="n"/>
      <c r="C355" s="48" t="n"/>
      <c r="D355" s="48" t="n"/>
      <c r="E355" s="48" t="n"/>
      <c r="F355" s="48">
        <f>IF(C355="","",IF(D355="","",IF(C355="Beginner",1,IF(C355="Intermediate",2,IF(C355="Advanced",3,4)))-IF(D355="Beginner",1,IF(D355="Intermediate",2,IF(D355="Advanced",3,4)))))</f>
        <v/>
      </c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65">
        <f>IF(N355="","",IF(M355=0,0,MIN(N355/M355,1)))</f>
        <v/>
      </c>
      <c r="Q355" s="48">
        <f>IF(P355="","",REPT("█",ROUND(P355*20,0))&amp;REPT("░",20-ROUND(P355*20,0)))</f>
        <v/>
      </c>
      <c r="R355" s="48" t="n"/>
    </row>
    <row r="356" ht="22" customHeight="1">
      <c r="A356" s="46" t="n"/>
      <c r="B356" s="46" t="n"/>
      <c r="C356" s="46" t="n"/>
      <c r="D356" s="46" t="n"/>
      <c r="E356" s="46" t="n"/>
      <c r="F356" s="46">
        <f>IF(C356="","",IF(D356="","",IF(C356="Beginner",1,IF(C356="Intermediate",2,IF(C356="Advanced",3,4)))-IF(D356="Beginner",1,IF(D356="Intermediate",2,IF(D356="Advanced",3,4)))))</f>
        <v/>
      </c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64">
        <f>IF(N356="","",IF(M356=0,0,MIN(N356/M356,1)))</f>
        <v/>
      </c>
      <c r="Q356" s="46">
        <f>IF(P356="","",REPT("█",ROUND(P356*20,0))&amp;REPT("░",20-ROUND(P356*20,0)))</f>
        <v/>
      </c>
      <c r="R356" s="46" t="n"/>
    </row>
    <row r="357" ht="22" customHeight="1">
      <c r="A357" s="48" t="n"/>
      <c r="B357" s="48" t="n"/>
      <c r="C357" s="48" t="n"/>
      <c r="D357" s="48" t="n"/>
      <c r="E357" s="48" t="n"/>
      <c r="F357" s="48">
        <f>IF(C357="","",IF(D357="","",IF(C357="Beginner",1,IF(C357="Intermediate",2,IF(C357="Advanced",3,4)))-IF(D357="Beginner",1,IF(D357="Intermediate",2,IF(D357="Advanced",3,4)))))</f>
        <v/>
      </c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65">
        <f>IF(N357="","",IF(M357=0,0,MIN(N357/M357,1)))</f>
        <v/>
      </c>
      <c r="Q357" s="48">
        <f>IF(P357="","",REPT("█",ROUND(P357*20,0))&amp;REPT("░",20-ROUND(P357*20,0)))</f>
        <v/>
      </c>
      <c r="R357" s="48" t="n"/>
    </row>
    <row r="358" ht="22" customHeight="1">
      <c r="A358" s="46" t="n"/>
      <c r="B358" s="46" t="n"/>
      <c r="C358" s="46" t="n"/>
      <c r="D358" s="46" t="n"/>
      <c r="E358" s="46" t="n"/>
      <c r="F358" s="46">
        <f>IF(C358="","",IF(D358="","",IF(C358="Beginner",1,IF(C358="Intermediate",2,IF(C358="Advanced",3,4)))-IF(D358="Beginner",1,IF(D358="Intermediate",2,IF(D358="Advanced",3,4)))))</f>
        <v/>
      </c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64">
        <f>IF(N358="","",IF(M358=0,0,MIN(N358/M358,1)))</f>
        <v/>
      </c>
      <c r="Q358" s="46">
        <f>IF(P358="","",REPT("█",ROUND(P358*20,0))&amp;REPT("░",20-ROUND(P358*20,0)))</f>
        <v/>
      </c>
      <c r="R358" s="46" t="n"/>
    </row>
    <row r="359" ht="22" customHeight="1">
      <c r="A359" s="48" t="n"/>
      <c r="B359" s="48" t="n"/>
      <c r="C359" s="48" t="n"/>
      <c r="D359" s="48" t="n"/>
      <c r="E359" s="48" t="n"/>
      <c r="F359" s="48">
        <f>IF(C359="","",IF(D359="","",IF(C359="Beginner",1,IF(C359="Intermediate",2,IF(C359="Advanced",3,4)))-IF(D359="Beginner",1,IF(D359="Intermediate",2,IF(D359="Advanced",3,4)))))</f>
        <v/>
      </c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65">
        <f>IF(N359="","",IF(M359=0,0,MIN(N359/M359,1)))</f>
        <v/>
      </c>
      <c r="Q359" s="48">
        <f>IF(P359="","",REPT("█",ROUND(P359*20,0))&amp;REPT("░",20-ROUND(P359*20,0)))</f>
        <v/>
      </c>
      <c r="R359" s="48" t="n"/>
    </row>
    <row r="360" ht="22" customHeight="1">
      <c r="A360" s="46" t="n"/>
      <c r="B360" s="46" t="n"/>
      <c r="C360" s="46" t="n"/>
      <c r="D360" s="46" t="n"/>
      <c r="E360" s="46" t="n"/>
      <c r="F360" s="46">
        <f>IF(C360="","",IF(D360="","",IF(C360="Beginner",1,IF(C360="Intermediate",2,IF(C360="Advanced",3,4)))-IF(D360="Beginner",1,IF(D360="Intermediate",2,IF(D360="Advanced",3,4)))))</f>
        <v/>
      </c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64">
        <f>IF(N360="","",IF(M360=0,0,MIN(N360/M360,1)))</f>
        <v/>
      </c>
      <c r="Q360" s="46">
        <f>IF(P360="","",REPT("█",ROUND(P360*20,0))&amp;REPT("░",20-ROUND(P360*20,0)))</f>
        <v/>
      </c>
      <c r="R360" s="46" t="n"/>
    </row>
    <row r="361" ht="22" customHeight="1">
      <c r="A361" s="48" t="n"/>
      <c r="B361" s="48" t="n"/>
      <c r="C361" s="48" t="n"/>
      <c r="D361" s="48" t="n"/>
      <c r="E361" s="48" t="n"/>
      <c r="F361" s="48">
        <f>IF(C361="","",IF(D361="","",IF(C361="Beginner",1,IF(C361="Intermediate",2,IF(C361="Advanced",3,4)))-IF(D361="Beginner",1,IF(D361="Intermediate",2,IF(D361="Advanced",3,4)))))</f>
        <v/>
      </c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65">
        <f>IF(N361="","",IF(M361=0,0,MIN(N361/M361,1)))</f>
        <v/>
      </c>
      <c r="Q361" s="48">
        <f>IF(P361="","",REPT("█",ROUND(P361*20,0))&amp;REPT("░",20-ROUND(P361*20,0)))</f>
        <v/>
      </c>
      <c r="R361" s="48" t="n"/>
    </row>
    <row r="362" ht="22" customHeight="1">
      <c r="A362" s="46" t="n"/>
      <c r="B362" s="46" t="n"/>
      <c r="C362" s="46" t="n"/>
      <c r="D362" s="46" t="n"/>
      <c r="E362" s="46" t="n"/>
      <c r="F362" s="46">
        <f>IF(C362="","",IF(D362="","",IF(C362="Beginner",1,IF(C362="Intermediate",2,IF(C362="Advanced",3,4)))-IF(D362="Beginner",1,IF(D362="Intermediate",2,IF(D362="Advanced",3,4)))))</f>
        <v/>
      </c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64">
        <f>IF(N362="","",IF(M362=0,0,MIN(N362/M362,1)))</f>
        <v/>
      </c>
      <c r="Q362" s="46">
        <f>IF(P362="","",REPT("█",ROUND(P362*20,0))&amp;REPT("░",20-ROUND(P362*20,0)))</f>
        <v/>
      </c>
      <c r="R362" s="46" t="n"/>
    </row>
    <row r="363" ht="22" customHeight="1">
      <c r="A363" s="48" t="n"/>
      <c r="B363" s="48" t="n"/>
      <c r="C363" s="48" t="n"/>
      <c r="D363" s="48" t="n"/>
      <c r="E363" s="48" t="n"/>
      <c r="F363" s="48">
        <f>IF(C363="","",IF(D363="","",IF(C363="Beginner",1,IF(C363="Intermediate",2,IF(C363="Advanced",3,4)))-IF(D363="Beginner",1,IF(D363="Intermediate",2,IF(D363="Advanced",3,4)))))</f>
        <v/>
      </c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65">
        <f>IF(N363="","",IF(M363=0,0,MIN(N363/M363,1)))</f>
        <v/>
      </c>
      <c r="Q363" s="48">
        <f>IF(P363="","",REPT("█",ROUND(P363*20,0))&amp;REPT("░",20-ROUND(P363*20,0)))</f>
        <v/>
      </c>
      <c r="R363" s="48" t="n"/>
    </row>
    <row r="364" ht="22" customHeight="1">
      <c r="A364" s="46" t="n"/>
      <c r="B364" s="46" t="n"/>
      <c r="C364" s="46" t="n"/>
      <c r="D364" s="46" t="n"/>
      <c r="E364" s="46" t="n"/>
      <c r="F364" s="46">
        <f>IF(C364="","",IF(D364="","",IF(C364="Beginner",1,IF(C364="Intermediate",2,IF(C364="Advanced",3,4)))-IF(D364="Beginner",1,IF(D364="Intermediate",2,IF(D364="Advanced",3,4)))))</f>
        <v/>
      </c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64">
        <f>IF(N364="","",IF(M364=0,0,MIN(N364/M364,1)))</f>
        <v/>
      </c>
      <c r="Q364" s="46">
        <f>IF(P364="","",REPT("█",ROUND(P364*20,0))&amp;REPT("░",20-ROUND(P364*20,0)))</f>
        <v/>
      </c>
      <c r="R364" s="46" t="n"/>
    </row>
    <row r="365" ht="22" customHeight="1">
      <c r="A365" s="48" t="n"/>
      <c r="B365" s="48" t="n"/>
      <c r="C365" s="48" t="n"/>
      <c r="D365" s="48" t="n"/>
      <c r="E365" s="48" t="n"/>
      <c r="F365" s="48">
        <f>IF(C365="","",IF(D365="","",IF(C365="Beginner",1,IF(C365="Intermediate",2,IF(C365="Advanced",3,4)))-IF(D365="Beginner",1,IF(D365="Intermediate",2,IF(D365="Advanced",3,4)))))</f>
        <v/>
      </c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65">
        <f>IF(N365="","",IF(M365=0,0,MIN(N365/M365,1)))</f>
        <v/>
      </c>
      <c r="Q365" s="48">
        <f>IF(P365="","",REPT("█",ROUND(P365*20,0))&amp;REPT("░",20-ROUND(P365*20,0)))</f>
        <v/>
      </c>
      <c r="R365" s="48" t="n"/>
    </row>
    <row r="366" ht="22" customHeight="1">
      <c r="A366" s="46" t="n"/>
      <c r="B366" s="46" t="n"/>
      <c r="C366" s="46" t="n"/>
      <c r="D366" s="46" t="n"/>
      <c r="E366" s="46" t="n"/>
      <c r="F366" s="46">
        <f>IF(C366="","",IF(D366="","",IF(C366="Beginner",1,IF(C366="Intermediate",2,IF(C366="Advanced",3,4)))-IF(D366="Beginner",1,IF(D366="Intermediate",2,IF(D366="Advanced",3,4)))))</f>
        <v/>
      </c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64">
        <f>IF(N366="","",IF(M366=0,0,MIN(N366/M366,1)))</f>
        <v/>
      </c>
      <c r="Q366" s="46">
        <f>IF(P366="","",REPT("█",ROUND(P366*20,0))&amp;REPT("░",20-ROUND(P366*20,0)))</f>
        <v/>
      </c>
      <c r="R366" s="46" t="n"/>
    </row>
    <row r="367" ht="22" customHeight="1">
      <c r="A367" s="48" t="n"/>
      <c r="B367" s="48" t="n"/>
      <c r="C367" s="48" t="n"/>
      <c r="D367" s="48" t="n"/>
      <c r="E367" s="48" t="n"/>
      <c r="F367" s="48">
        <f>IF(C367="","",IF(D367="","",IF(C367="Beginner",1,IF(C367="Intermediate",2,IF(C367="Advanced",3,4)))-IF(D367="Beginner",1,IF(D367="Intermediate",2,IF(D367="Advanced",3,4)))))</f>
        <v/>
      </c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65">
        <f>IF(N367="","",IF(M367=0,0,MIN(N367/M367,1)))</f>
        <v/>
      </c>
      <c r="Q367" s="48">
        <f>IF(P367="","",REPT("█",ROUND(P367*20,0))&amp;REPT("░",20-ROUND(P367*20,0)))</f>
        <v/>
      </c>
      <c r="R367" s="48" t="n"/>
    </row>
    <row r="368" ht="22" customHeight="1">
      <c r="A368" s="46" t="n"/>
      <c r="B368" s="46" t="n"/>
      <c r="C368" s="46" t="n"/>
      <c r="D368" s="46" t="n"/>
      <c r="E368" s="46" t="n"/>
      <c r="F368" s="46">
        <f>IF(C368="","",IF(D368="","",IF(C368="Beginner",1,IF(C368="Intermediate",2,IF(C368="Advanced",3,4)))-IF(D368="Beginner",1,IF(D368="Intermediate",2,IF(D368="Advanced",3,4)))))</f>
        <v/>
      </c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64">
        <f>IF(N368="","",IF(M368=0,0,MIN(N368/M368,1)))</f>
        <v/>
      </c>
      <c r="Q368" s="46">
        <f>IF(P368="","",REPT("█",ROUND(P368*20,0))&amp;REPT("░",20-ROUND(P368*20,0)))</f>
        <v/>
      </c>
      <c r="R368" s="46" t="n"/>
    </row>
    <row r="369" ht="22" customHeight="1">
      <c r="A369" s="48" t="n"/>
      <c r="B369" s="48" t="n"/>
      <c r="C369" s="48" t="n"/>
      <c r="D369" s="48" t="n"/>
      <c r="E369" s="48" t="n"/>
      <c r="F369" s="48">
        <f>IF(C369="","",IF(D369="","",IF(C369="Beginner",1,IF(C369="Intermediate",2,IF(C369="Advanced",3,4)))-IF(D369="Beginner",1,IF(D369="Intermediate",2,IF(D369="Advanced",3,4)))))</f>
        <v/>
      </c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65">
        <f>IF(N369="","",IF(M369=0,0,MIN(N369/M369,1)))</f>
        <v/>
      </c>
      <c r="Q369" s="48">
        <f>IF(P369="","",REPT("█",ROUND(P369*20,0))&amp;REPT("░",20-ROUND(P369*20,0)))</f>
        <v/>
      </c>
      <c r="R369" s="48" t="n"/>
    </row>
    <row r="370" ht="22" customHeight="1">
      <c r="A370" s="46" t="n"/>
      <c r="B370" s="46" t="n"/>
      <c r="C370" s="46" t="n"/>
      <c r="D370" s="46" t="n"/>
      <c r="E370" s="46" t="n"/>
      <c r="F370" s="46">
        <f>IF(C370="","",IF(D370="","",IF(C370="Beginner",1,IF(C370="Intermediate",2,IF(C370="Advanced",3,4)))-IF(D370="Beginner",1,IF(D370="Intermediate",2,IF(D370="Advanced",3,4)))))</f>
        <v/>
      </c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64">
        <f>IF(N370="","",IF(M370=0,0,MIN(N370/M370,1)))</f>
        <v/>
      </c>
      <c r="Q370" s="46">
        <f>IF(P370="","",REPT("█",ROUND(P370*20,0))&amp;REPT("░",20-ROUND(P370*20,0)))</f>
        <v/>
      </c>
      <c r="R370" s="46" t="n"/>
    </row>
    <row r="371" ht="22" customHeight="1">
      <c r="A371" s="48" t="n"/>
      <c r="B371" s="48" t="n"/>
      <c r="C371" s="48" t="n"/>
      <c r="D371" s="48" t="n"/>
      <c r="E371" s="48" t="n"/>
      <c r="F371" s="48">
        <f>IF(C371="","",IF(D371="","",IF(C371="Beginner",1,IF(C371="Intermediate",2,IF(C371="Advanced",3,4)))-IF(D371="Beginner",1,IF(D371="Intermediate",2,IF(D371="Advanced",3,4)))))</f>
        <v/>
      </c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65">
        <f>IF(N371="","",IF(M371=0,0,MIN(N371/M371,1)))</f>
        <v/>
      </c>
      <c r="Q371" s="48">
        <f>IF(P371="","",REPT("█",ROUND(P371*20,0))&amp;REPT("░",20-ROUND(P371*20,0)))</f>
        <v/>
      </c>
      <c r="R371" s="48" t="n"/>
    </row>
    <row r="372" ht="22" customHeight="1">
      <c r="A372" s="46" t="n"/>
      <c r="B372" s="46" t="n"/>
      <c r="C372" s="46" t="n"/>
      <c r="D372" s="46" t="n"/>
      <c r="E372" s="46" t="n"/>
      <c r="F372" s="46">
        <f>IF(C372="","",IF(D372="","",IF(C372="Beginner",1,IF(C372="Intermediate",2,IF(C372="Advanced",3,4)))-IF(D372="Beginner",1,IF(D372="Intermediate",2,IF(D372="Advanced",3,4)))))</f>
        <v/>
      </c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64">
        <f>IF(N372="","",IF(M372=0,0,MIN(N372/M372,1)))</f>
        <v/>
      </c>
      <c r="Q372" s="46">
        <f>IF(P372="","",REPT("█",ROUND(P372*20,0))&amp;REPT("░",20-ROUND(P372*20,0)))</f>
        <v/>
      </c>
      <c r="R372" s="46" t="n"/>
    </row>
    <row r="373" ht="22" customHeight="1">
      <c r="A373" s="48" t="n"/>
      <c r="B373" s="48" t="n"/>
      <c r="C373" s="48" t="n"/>
      <c r="D373" s="48" t="n"/>
      <c r="E373" s="48" t="n"/>
      <c r="F373" s="48">
        <f>IF(C373="","",IF(D373="","",IF(C373="Beginner",1,IF(C373="Intermediate",2,IF(C373="Advanced",3,4)))-IF(D373="Beginner",1,IF(D373="Intermediate",2,IF(D373="Advanced",3,4)))))</f>
        <v/>
      </c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65">
        <f>IF(N373="","",IF(M373=0,0,MIN(N373/M373,1)))</f>
        <v/>
      </c>
      <c r="Q373" s="48">
        <f>IF(P373="","",REPT("█",ROUND(P373*20,0))&amp;REPT("░",20-ROUND(P373*20,0)))</f>
        <v/>
      </c>
      <c r="R373" s="48" t="n"/>
    </row>
    <row r="374" ht="22" customHeight="1">
      <c r="A374" s="46" t="n"/>
      <c r="B374" s="46" t="n"/>
      <c r="C374" s="46" t="n"/>
      <c r="D374" s="46" t="n"/>
      <c r="E374" s="46" t="n"/>
      <c r="F374" s="46">
        <f>IF(C374="","",IF(D374="","",IF(C374="Beginner",1,IF(C374="Intermediate",2,IF(C374="Advanced",3,4)))-IF(D374="Beginner",1,IF(D374="Intermediate",2,IF(D374="Advanced",3,4)))))</f>
        <v/>
      </c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64">
        <f>IF(N374="","",IF(M374=0,0,MIN(N374/M374,1)))</f>
        <v/>
      </c>
      <c r="Q374" s="46">
        <f>IF(P374="","",REPT("█",ROUND(P374*20,0))&amp;REPT("░",20-ROUND(P374*20,0)))</f>
        <v/>
      </c>
      <c r="R374" s="46" t="n"/>
    </row>
    <row r="375" ht="22" customHeight="1">
      <c r="A375" s="48" t="n"/>
      <c r="B375" s="48" t="n"/>
      <c r="C375" s="48" t="n"/>
      <c r="D375" s="48" t="n"/>
      <c r="E375" s="48" t="n"/>
      <c r="F375" s="48">
        <f>IF(C375="","",IF(D375="","",IF(C375="Beginner",1,IF(C375="Intermediate",2,IF(C375="Advanced",3,4)))-IF(D375="Beginner",1,IF(D375="Intermediate",2,IF(D375="Advanced",3,4)))))</f>
        <v/>
      </c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65">
        <f>IF(N375="","",IF(M375=0,0,MIN(N375/M375,1)))</f>
        <v/>
      </c>
      <c r="Q375" s="48">
        <f>IF(P375="","",REPT("█",ROUND(P375*20,0))&amp;REPT("░",20-ROUND(P375*20,0)))</f>
        <v/>
      </c>
      <c r="R375" s="48" t="n"/>
    </row>
    <row r="376" ht="22" customHeight="1">
      <c r="A376" s="46" t="n"/>
      <c r="B376" s="46" t="n"/>
      <c r="C376" s="46" t="n"/>
      <c r="D376" s="46" t="n"/>
      <c r="E376" s="46" t="n"/>
      <c r="F376" s="46">
        <f>IF(C376="","",IF(D376="","",IF(C376="Beginner",1,IF(C376="Intermediate",2,IF(C376="Advanced",3,4)))-IF(D376="Beginner",1,IF(D376="Intermediate",2,IF(D376="Advanced",3,4)))))</f>
        <v/>
      </c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64">
        <f>IF(N376="","",IF(M376=0,0,MIN(N376/M376,1)))</f>
        <v/>
      </c>
      <c r="Q376" s="46">
        <f>IF(P376="","",REPT("█",ROUND(P376*20,0))&amp;REPT("░",20-ROUND(P376*20,0)))</f>
        <v/>
      </c>
      <c r="R376" s="46" t="n"/>
    </row>
    <row r="377" ht="22" customHeight="1">
      <c r="A377" s="48" t="n"/>
      <c r="B377" s="48" t="n"/>
      <c r="C377" s="48" t="n"/>
      <c r="D377" s="48" t="n"/>
      <c r="E377" s="48" t="n"/>
      <c r="F377" s="48">
        <f>IF(C377="","",IF(D377="","",IF(C377="Beginner",1,IF(C377="Intermediate",2,IF(C377="Advanced",3,4)))-IF(D377="Beginner",1,IF(D377="Intermediate",2,IF(D377="Advanced",3,4)))))</f>
        <v/>
      </c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65">
        <f>IF(N377="","",IF(M377=0,0,MIN(N377/M377,1)))</f>
        <v/>
      </c>
      <c r="Q377" s="48">
        <f>IF(P377="","",REPT("█",ROUND(P377*20,0))&amp;REPT("░",20-ROUND(P377*20,0)))</f>
        <v/>
      </c>
      <c r="R377" s="48" t="n"/>
    </row>
    <row r="378" ht="22" customHeight="1">
      <c r="A378" s="46" t="n"/>
      <c r="B378" s="46" t="n"/>
      <c r="C378" s="46" t="n"/>
      <c r="D378" s="46" t="n"/>
      <c r="E378" s="46" t="n"/>
      <c r="F378" s="46">
        <f>IF(C378="","",IF(D378="","",IF(C378="Beginner",1,IF(C378="Intermediate",2,IF(C378="Advanced",3,4)))-IF(D378="Beginner",1,IF(D378="Intermediate",2,IF(D378="Advanced",3,4)))))</f>
        <v/>
      </c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64">
        <f>IF(N378="","",IF(M378=0,0,MIN(N378/M378,1)))</f>
        <v/>
      </c>
      <c r="Q378" s="46">
        <f>IF(P378="","",REPT("█",ROUND(P378*20,0))&amp;REPT("░",20-ROUND(P378*20,0)))</f>
        <v/>
      </c>
      <c r="R378" s="46" t="n"/>
    </row>
    <row r="379" ht="22" customHeight="1">
      <c r="A379" s="48" t="n"/>
      <c r="B379" s="48" t="n"/>
      <c r="C379" s="48" t="n"/>
      <c r="D379" s="48" t="n"/>
      <c r="E379" s="48" t="n"/>
      <c r="F379" s="48">
        <f>IF(C379="","",IF(D379="","",IF(C379="Beginner",1,IF(C379="Intermediate",2,IF(C379="Advanced",3,4)))-IF(D379="Beginner",1,IF(D379="Intermediate",2,IF(D379="Advanced",3,4)))))</f>
        <v/>
      </c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65">
        <f>IF(N379="","",IF(M379=0,0,MIN(N379/M379,1)))</f>
        <v/>
      </c>
      <c r="Q379" s="48">
        <f>IF(P379="","",REPT("█",ROUND(P379*20,0))&amp;REPT("░",20-ROUND(P379*20,0)))</f>
        <v/>
      </c>
      <c r="R379" s="48" t="n"/>
    </row>
    <row r="380" ht="22" customHeight="1">
      <c r="A380" s="46" t="n"/>
      <c r="B380" s="46" t="n"/>
      <c r="C380" s="46" t="n"/>
      <c r="D380" s="46" t="n"/>
      <c r="E380" s="46" t="n"/>
      <c r="F380" s="46">
        <f>IF(C380="","",IF(D380="","",IF(C380="Beginner",1,IF(C380="Intermediate",2,IF(C380="Advanced",3,4)))-IF(D380="Beginner",1,IF(D380="Intermediate",2,IF(D380="Advanced",3,4)))))</f>
        <v/>
      </c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64">
        <f>IF(N380="","",IF(M380=0,0,MIN(N380/M380,1)))</f>
        <v/>
      </c>
      <c r="Q380" s="46">
        <f>IF(P380="","",REPT("█",ROUND(P380*20,0))&amp;REPT("░",20-ROUND(P380*20,0)))</f>
        <v/>
      </c>
      <c r="R380" s="46" t="n"/>
    </row>
    <row r="381" ht="22" customHeight="1">
      <c r="A381" s="48" t="n"/>
      <c r="B381" s="48" t="n"/>
      <c r="C381" s="48" t="n"/>
      <c r="D381" s="48" t="n"/>
      <c r="E381" s="48" t="n"/>
      <c r="F381" s="48">
        <f>IF(C381="","",IF(D381="","",IF(C381="Beginner",1,IF(C381="Intermediate",2,IF(C381="Advanced",3,4)))-IF(D381="Beginner",1,IF(D381="Intermediate",2,IF(D381="Advanced",3,4)))))</f>
        <v/>
      </c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65">
        <f>IF(N381="","",IF(M381=0,0,MIN(N381/M381,1)))</f>
        <v/>
      </c>
      <c r="Q381" s="48">
        <f>IF(P381="","",REPT("█",ROUND(P381*20,0))&amp;REPT("░",20-ROUND(P381*20,0)))</f>
        <v/>
      </c>
      <c r="R381" s="48" t="n"/>
    </row>
    <row r="382" ht="22" customHeight="1">
      <c r="A382" s="46" t="n"/>
      <c r="B382" s="46" t="n"/>
      <c r="C382" s="46" t="n"/>
      <c r="D382" s="46" t="n"/>
      <c r="E382" s="46" t="n"/>
      <c r="F382" s="46">
        <f>IF(C382="","",IF(D382="","",IF(C382="Beginner",1,IF(C382="Intermediate",2,IF(C382="Advanced",3,4)))-IF(D382="Beginner",1,IF(D382="Intermediate",2,IF(D382="Advanced",3,4)))))</f>
        <v/>
      </c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64">
        <f>IF(N382="","",IF(M382=0,0,MIN(N382/M382,1)))</f>
        <v/>
      </c>
      <c r="Q382" s="46">
        <f>IF(P382="","",REPT("█",ROUND(P382*20,0))&amp;REPT("░",20-ROUND(P382*20,0)))</f>
        <v/>
      </c>
      <c r="R382" s="46" t="n"/>
    </row>
    <row r="383" ht="22" customHeight="1">
      <c r="A383" s="48" t="n"/>
      <c r="B383" s="48" t="n"/>
      <c r="C383" s="48" t="n"/>
      <c r="D383" s="48" t="n"/>
      <c r="E383" s="48" t="n"/>
      <c r="F383" s="48">
        <f>IF(C383="","",IF(D383="","",IF(C383="Beginner",1,IF(C383="Intermediate",2,IF(C383="Advanced",3,4)))-IF(D383="Beginner",1,IF(D383="Intermediate",2,IF(D383="Advanced",3,4)))))</f>
        <v/>
      </c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65">
        <f>IF(N383="","",IF(M383=0,0,MIN(N383/M383,1)))</f>
        <v/>
      </c>
      <c r="Q383" s="48">
        <f>IF(P383="","",REPT("█",ROUND(P383*20,0))&amp;REPT("░",20-ROUND(P383*20,0)))</f>
        <v/>
      </c>
      <c r="R383" s="48" t="n"/>
    </row>
    <row r="384" ht="22" customHeight="1">
      <c r="A384" s="46" t="n"/>
      <c r="B384" s="46" t="n"/>
      <c r="C384" s="46" t="n"/>
      <c r="D384" s="46" t="n"/>
      <c r="E384" s="46" t="n"/>
      <c r="F384" s="46">
        <f>IF(C384="","",IF(D384="","",IF(C384="Beginner",1,IF(C384="Intermediate",2,IF(C384="Advanced",3,4)))-IF(D384="Beginner",1,IF(D384="Intermediate",2,IF(D384="Advanced",3,4)))))</f>
        <v/>
      </c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64">
        <f>IF(N384="","",IF(M384=0,0,MIN(N384/M384,1)))</f>
        <v/>
      </c>
      <c r="Q384" s="46">
        <f>IF(P384="","",REPT("█",ROUND(P384*20,0))&amp;REPT("░",20-ROUND(P384*20,0)))</f>
        <v/>
      </c>
      <c r="R384" s="46" t="n"/>
    </row>
    <row r="385" ht="22" customHeight="1">
      <c r="A385" s="48" t="n"/>
      <c r="B385" s="48" t="n"/>
      <c r="C385" s="48" t="n"/>
      <c r="D385" s="48" t="n"/>
      <c r="E385" s="48" t="n"/>
      <c r="F385" s="48">
        <f>IF(C385="","",IF(D385="","",IF(C385="Beginner",1,IF(C385="Intermediate",2,IF(C385="Advanced",3,4)))-IF(D385="Beginner",1,IF(D385="Intermediate",2,IF(D385="Advanced",3,4)))))</f>
        <v/>
      </c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65">
        <f>IF(N385="","",IF(M385=0,0,MIN(N385/M385,1)))</f>
        <v/>
      </c>
      <c r="Q385" s="48">
        <f>IF(P385="","",REPT("█",ROUND(P385*20,0))&amp;REPT("░",20-ROUND(P385*20,0)))</f>
        <v/>
      </c>
      <c r="R385" s="48" t="n"/>
    </row>
    <row r="386" ht="22" customHeight="1">
      <c r="A386" s="46" t="n"/>
      <c r="B386" s="46" t="n"/>
      <c r="C386" s="46" t="n"/>
      <c r="D386" s="46" t="n"/>
      <c r="E386" s="46" t="n"/>
      <c r="F386" s="46">
        <f>IF(C386="","",IF(D386="","",IF(C386="Beginner",1,IF(C386="Intermediate",2,IF(C386="Advanced",3,4)))-IF(D386="Beginner",1,IF(D386="Intermediate",2,IF(D386="Advanced",3,4)))))</f>
        <v/>
      </c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64">
        <f>IF(N386="","",IF(M386=0,0,MIN(N386/M386,1)))</f>
        <v/>
      </c>
      <c r="Q386" s="46">
        <f>IF(P386="","",REPT("█",ROUND(P386*20,0))&amp;REPT("░",20-ROUND(P386*20,0)))</f>
        <v/>
      </c>
      <c r="R386" s="46" t="n"/>
    </row>
    <row r="387" ht="22" customHeight="1">
      <c r="A387" s="48" t="n"/>
      <c r="B387" s="48" t="n"/>
      <c r="C387" s="48" t="n"/>
      <c r="D387" s="48" t="n"/>
      <c r="E387" s="48" t="n"/>
      <c r="F387" s="48">
        <f>IF(C387="","",IF(D387="","",IF(C387="Beginner",1,IF(C387="Intermediate",2,IF(C387="Advanced",3,4)))-IF(D387="Beginner",1,IF(D387="Intermediate",2,IF(D387="Advanced",3,4)))))</f>
        <v/>
      </c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65">
        <f>IF(N387="","",IF(M387=0,0,MIN(N387/M387,1)))</f>
        <v/>
      </c>
      <c r="Q387" s="48">
        <f>IF(P387="","",REPT("█",ROUND(P387*20,0))&amp;REPT("░",20-ROUND(P387*20,0)))</f>
        <v/>
      </c>
      <c r="R387" s="48" t="n"/>
    </row>
    <row r="388" ht="22" customHeight="1">
      <c r="A388" s="46" t="n"/>
      <c r="B388" s="46" t="n"/>
      <c r="C388" s="46" t="n"/>
      <c r="D388" s="46" t="n"/>
      <c r="E388" s="46" t="n"/>
      <c r="F388" s="46">
        <f>IF(C388="","",IF(D388="","",IF(C388="Beginner",1,IF(C388="Intermediate",2,IF(C388="Advanced",3,4)))-IF(D388="Beginner",1,IF(D388="Intermediate",2,IF(D388="Advanced",3,4)))))</f>
        <v/>
      </c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64">
        <f>IF(N388="","",IF(M388=0,0,MIN(N388/M388,1)))</f>
        <v/>
      </c>
      <c r="Q388" s="46">
        <f>IF(P388="","",REPT("█",ROUND(P388*20,0))&amp;REPT("░",20-ROUND(P388*20,0)))</f>
        <v/>
      </c>
      <c r="R388" s="46" t="n"/>
    </row>
    <row r="389" ht="22" customHeight="1">
      <c r="A389" s="48" t="n"/>
      <c r="B389" s="48" t="n"/>
      <c r="C389" s="48" t="n"/>
      <c r="D389" s="48" t="n"/>
      <c r="E389" s="48" t="n"/>
      <c r="F389" s="48">
        <f>IF(C389="","",IF(D389="","",IF(C389="Beginner",1,IF(C389="Intermediate",2,IF(C389="Advanced",3,4)))-IF(D389="Beginner",1,IF(D389="Intermediate",2,IF(D389="Advanced",3,4)))))</f>
        <v/>
      </c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65">
        <f>IF(N389="","",IF(M389=0,0,MIN(N389/M389,1)))</f>
        <v/>
      </c>
      <c r="Q389" s="48">
        <f>IF(P389="","",REPT("█",ROUND(P389*20,0))&amp;REPT("░",20-ROUND(P389*20,0)))</f>
        <v/>
      </c>
      <c r="R389" s="48" t="n"/>
    </row>
    <row r="390" ht="22" customHeight="1">
      <c r="A390" s="46" t="n"/>
      <c r="B390" s="46" t="n"/>
      <c r="C390" s="46" t="n"/>
      <c r="D390" s="46" t="n"/>
      <c r="E390" s="46" t="n"/>
      <c r="F390" s="46">
        <f>IF(C390="","",IF(D390="","",IF(C390="Beginner",1,IF(C390="Intermediate",2,IF(C390="Advanced",3,4)))-IF(D390="Beginner",1,IF(D390="Intermediate",2,IF(D390="Advanced",3,4)))))</f>
        <v/>
      </c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64">
        <f>IF(N390="","",IF(M390=0,0,MIN(N390/M390,1)))</f>
        <v/>
      </c>
      <c r="Q390" s="46">
        <f>IF(P390="","",REPT("█",ROUND(P390*20,0))&amp;REPT("░",20-ROUND(P390*20,0)))</f>
        <v/>
      </c>
      <c r="R390" s="46" t="n"/>
    </row>
    <row r="391" ht="22" customHeight="1">
      <c r="A391" s="48" t="n"/>
      <c r="B391" s="48" t="n"/>
      <c r="C391" s="48" t="n"/>
      <c r="D391" s="48" t="n"/>
      <c r="E391" s="48" t="n"/>
      <c r="F391" s="48">
        <f>IF(C391="","",IF(D391="","",IF(C391="Beginner",1,IF(C391="Intermediate",2,IF(C391="Advanced",3,4)))-IF(D391="Beginner",1,IF(D391="Intermediate",2,IF(D391="Advanced",3,4)))))</f>
        <v/>
      </c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65">
        <f>IF(N391="","",IF(M391=0,0,MIN(N391/M391,1)))</f>
        <v/>
      </c>
      <c r="Q391" s="48">
        <f>IF(P391="","",REPT("█",ROUND(P391*20,0))&amp;REPT("░",20-ROUND(P391*20,0)))</f>
        <v/>
      </c>
      <c r="R391" s="48" t="n"/>
    </row>
    <row r="392" ht="22" customHeight="1">
      <c r="A392" s="46" t="n"/>
      <c r="B392" s="46" t="n"/>
      <c r="C392" s="46" t="n"/>
      <c r="D392" s="46" t="n"/>
      <c r="E392" s="46" t="n"/>
      <c r="F392" s="46">
        <f>IF(C392="","",IF(D392="","",IF(C392="Beginner",1,IF(C392="Intermediate",2,IF(C392="Advanced",3,4)))-IF(D392="Beginner",1,IF(D392="Intermediate",2,IF(D392="Advanced",3,4)))))</f>
        <v/>
      </c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64">
        <f>IF(N392="","",IF(M392=0,0,MIN(N392/M392,1)))</f>
        <v/>
      </c>
      <c r="Q392" s="46">
        <f>IF(P392="","",REPT("█",ROUND(P392*20,0))&amp;REPT("░",20-ROUND(P392*20,0)))</f>
        <v/>
      </c>
      <c r="R392" s="46" t="n"/>
    </row>
    <row r="393" ht="22" customHeight="1">
      <c r="A393" s="48" t="n"/>
      <c r="B393" s="48" t="n"/>
      <c r="C393" s="48" t="n"/>
      <c r="D393" s="48" t="n"/>
      <c r="E393" s="48" t="n"/>
      <c r="F393" s="48">
        <f>IF(C393="","",IF(D393="","",IF(C393="Beginner",1,IF(C393="Intermediate",2,IF(C393="Advanced",3,4)))-IF(D393="Beginner",1,IF(D393="Intermediate",2,IF(D393="Advanced",3,4)))))</f>
        <v/>
      </c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65">
        <f>IF(N393="","",IF(M393=0,0,MIN(N393/M393,1)))</f>
        <v/>
      </c>
      <c r="Q393" s="48">
        <f>IF(P393="","",REPT("█",ROUND(P393*20,0))&amp;REPT("░",20-ROUND(P393*20,0)))</f>
        <v/>
      </c>
      <c r="R393" s="48" t="n"/>
    </row>
    <row r="394" ht="22" customHeight="1">
      <c r="A394" s="46" t="n"/>
      <c r="B394" s="46" t="n"/>
      <c r="C394" s="46" t="n"/>
      <c r="D394" s="46" t="n"/>
      <c r="E394" s="46" t="n"/>
      <c r="F394" s="46">
        <f>IF(C394="","",IF(D394="","",IF(C394="Beginner",1,IF(C394="Intermediate",2,IF(C394="Advanced",3,4)))-IF(D394="Beginner",1,IF(D394="Intermediate",2,IF(D394="Advanced",3,4)))))</f>
        <v/>
      </c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64">
        <f>IF(N394="","",IF(M394=0,0,MIN(N394/M394,1)))</f>
        <v/>
      </c>
      <c r="Q394" s="46">
        <f>IF(P394="","",REPT("█",ROUND(P394*20,0))&amp;REPT("░",20-ROUND(P394*20,0)))</f>
        <v/>
      </c>
      <c r="R394" s="46" t="n"/>
    </row>
    <row r="395" ht="22" customHeight="1">
      <c r="A395" s="48" t="n"/>
      <c r="B395" s="48" t="n"/>
      <c r="C395" s="48" t="n"/>
      <c r="D395" s="48" t="n"/>
      <c r="E395" s="48" t="n"/>
      <c r="F395" s="48">
        <f>IF(C395="","",IF(D395="","",IF(C395="Beginner",1,IF(C395="Intermediate",2,IF(C395="Advanced",3,4)))-IF(D395="Beginner",1,IF(D395="Intermediate",2,IF(D395="Advanced",3,4)))))</f>
        <v/>
      </c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65">
        <f>IF(N395="","",IF(M395=0,0,MIN(N395/M395,1)))</f>
        <v/>
      </c>
      <c r="Q395" s="48">
        <f>IF(P395="","",REPT("█",ROUND(P395*20,0))&amp;REPT("░",20-ROUND(P395*20,0)))</f>
        <v/>
      </c>
      <c r="R395" s="48" t="n"/>
    </row>
    <row r="396" ht="22" customHeight="1">
      <c r="A396" s="46" t="n"/>
      <c r="B396" s="46" t="n"/>
      <c r="C396" s="46" t="n"/>
      <c r="D396" s="46" t="n"/>
      <c r="E396" s="46" t="n"/>
      <c r="F396" s="46">
        <f>IF(C396="","",IF(D396="","",IF(C396="Beginner",1,IF(C396="Intermediate",2,IF(C396="Advanced",3,4)))-IF(D396="Beginner",1,IF(D396="Intermediate",2,IF(D396="Advanced",3,4)))))</f>
        <v/>
      </c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64">
        <f>IF(N396="","",IF(M396=0,0,MIN(N396/M396,1)))</f>
        <v/>
      </c>
      <c r="Q396" s="46">
        <f>IF(P396="","",REPT("█",ROUND(P396*20,0))&amp;REPT("░",20-ROUND(P396*20,0)))</f>
        <v/>
      </c>
      <c r="R396" s="46" t="n"/>
    </row>
    <row r="397" ht="22" customHeight="1">
      <c r="A397" s="48" t="n"/>
      <c r="B397" s="48" t="n"/>
      <c r="C397" s="48" t="n"/>
      <c r="D397" s="48" t="n"/>
      <c r="E397" s="48" t="n"/>
      <c r="F397" s="48">
        <f>IF(C397="","",IF(D397="","",IF(C397="Beginner",1,IF(C397="Intermediate",2,IF(C397="Advanced",3,4)))-IF(D397="Beginner",1,IF(D397="Intermediate",2,IF(D397="Advanced",3,4)))))</f>
        <v/>
      </c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65">
        <f>IF(N397="","",IF(M397=0,0,MIN(N397/M397,1)))</f>
        <v/>
      </c>
      <c r="Q397" s="48">
        <f>IF(P397="","",REPT("█",ROUND(P397*20,0))&amp;REPT("░",20-ROUND(P397*20,0)))</f>
        <v/>
      </c>
      <c r="R397" s="48" t="n"/>
    </row>
    <row r="398" ht="22" customHeight="1">
      <c r="A398" s="46" t="n"/>
      <c r="B398" s="46" t="n"/>
      <c r="C398" s="46" t="n"/>
      <c r="D398" s="46" t="n"/>
      <c r="E398" s="46" t="n"/>
      <c r="F398" s="46">
        <f>IF(C398="","",IF(D398="","",IF(C398="Beginner",1,IF(C398="Intermediate",2,IF(C398="Advanced",3,4)))-IF(D398="Beginner",1,IF(D398="Intermediate",2,IF(D398="Advanced",3,4)))))</f>
        <v/>
      </c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64">
        <f>IF(N398="","",IF(M398=0,0,MIN(N398/M398,1)))</f>
        <v/>
      </c>
      <c r="Q398" s="46">
        <f>IF(P398="","",REPT("█",ROUND(P398*20,0))&amp;REPT("░",20-ROUND(P398*20,0)))</f>
        <v/>
      </c>
      <c r="R398" s="46" t="n"/>
    </row>
    <row r="399" ht="22" customHeight="1">
      <c r="A399" s="48" t="n"/>
      <c r="B399" s="48" t="n"/>
      <c r="C399" s="48" t="n"/>
      <c r="D399" s="48" t="n"/>
      <c r="E399" s="48" t="n"/>
      <c r="F399" s="48">
        <f>IF(C399="","",IF(D399="","",IF(C399="Beginner",1,IF(C399="Intermediate",2,IF(C399="Advanced",3,4)))-IF(D399="Beginner",1,IF(D399="Intermediate",2,IF(D399="Advanced",3,4)))))</f>
        <v/>
      </c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65">
        <f>IF(N399="","",IF(M399=0,0,MIN(N399/M399,1)))</f>
        <v/>
      </c>
      <c r="Q399" s="48">
        <f>IF(P399="","",REPT("█",ROUND(P399*20,0))&amp;REPT("░",20-ROUND(P399*20,0)))</f>
        <v/>
      </c>
      <c r="R399" s="48" t="n"/>
    </row>
    <row r="400" ht="22" customHeight="1">
      <c r="A400" s="46" t="n"/>
      <c r="B400" s="46" t="n"/>
      <c r="C400" s="46" t="n"/>
      <c r="D400" s="46" t="n"/>
      <c r="E400" s="46" t="n"/>
      <c r="F400" s="46">
        <f>IF(C400="","",IF(D400="","",IF(C400="Beginner",1,IF(C400="Intermediate",2,IF(C400="Advanced",3,4)))-IF(D400="Beginner",1,IF(D400="Intermediate",2,IF(D400="Advanced",3,4)))))</f>
        <v/>
      </c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64">
        <f>IF(N400="","",IF(M400=0,0,MIN(N400/M400,1)))</f>
        <v/>
      </c>
      <c r="Q400" s="46">
        <f>IF(P400="","",REPT("█",ROUND(P400*20,0))&amp;REPT("░",20-ROUND(P400*20,0)))</f>
        <v/>
      </c>
      <c r="R400" s="46" t="n"/>
    </row>
    <row r="401" ht="22" customHeight="1">
      <c r="A401" s="48" t="n"/>
      <c r="B401" s="48" t="n"/>
      <c r="C401" s="48" t="n"/>
      <c r="D401" s="48" t="n"/>
      <c r="E401" s="48" t="n"/>
      <c r="F401" s="48">
        <f>IF(C401="","",IF(D401="","",IF(C401="Beginner",1,IF(C401="Intermediate",2,IF(C401="Advanced",3,4)))-IF(D401="Beginner",1,IF(D401="Intermediate",2,IF(D401="Advanced",3,4)))))</f>
        <v/>
      </c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65">
        <f>IF(N401="","",IF(M401=0,0,MIN(N401/M401,1)))</f>
        <v/>
      </c>
      <c r="Q401" s="48">
        <f>IF(P401="","",REPT("█",ROUND(P401*20,0))&amp;REPT("░",20-ROUND(P401*20,0)))</f>
        <v/>
      </c>
      <c r="R401" s="48" t="n"/>
    </row>
    <row r="402" ht="22" customHeight="1">
      <c r="A402" s="46" t="n"/>
      <c r="B402" s="46" t="n"/>
      <c r="C402" s="46" t="n"/>
      <c r="D402" s="46" t="n"/>
      <c r="E402" s="46" t="n"/>
      <c r="F402" s="46">
        <f>IF(C402="","",IF(D402="","",IF(C402="Beginner",1,IF(C402="Intermediate",2,IF(C402="Advanced",3,4)))-IF(D402="Beginner",1,IF(D402="Intermediate",2,IF(D402="Advanced",3,4)))))</f>
        <v/>
      </c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64">
        <f>IF(N402="","",IF(M402=0,0,MIN(N402/M402,1)))</f>
        <v/>
      </c>
      <c r="Q402" s="46">
        <f>IF(P402="","",REPT("█",ROUND(P402*20,0))&amp;REPT("░",20-ROUND(P402*20,0)))</f>
        <v/>
      </c>
      <c r="R402" s="46" t="n"/>
    </row>
    <row r="403" ht="22" customHeight="1">
      <c r="A403" s="48" t="n"/>
      <c r="B403" s="48" t="n"/>
      <c r="C403" s="48" t="n"/>
      <c r="D403" s="48" t="n"/>
      <c r="E403" s="48" t="n"/>
      <c r="F403" s="48">
        <f>IF(C403="","",IF(D403="","",IF(C403="Beginner",1,IF(C403="Intermediate",2,IF(C403="Advanced",3,4)))-IF(D403="Beginner",1,IF(D403="Intermediate",2,IF(D403="Advanced",3,4)))))</f>
        <v/>
      </c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65">
        <f>IF(N403="","",IF(M403=0,0,MIN(N403/M403,1)))</f>
        <v/>
      </c>
      <c r="Q403" s="48">
        <f>IF(P403="","",REPT("█",ROUND(P403*20,0))&amp;REPT("░",20-ROUND(P403*20,0)))</f>
        <v/>
      </c>
      <c r="R403" s="48" t="n"/>
    </row>
    <row r="404" ht="22" customHeight="1">
      <c r="A404" s="46" t="n"/>
      <c r="B404" s="46" t="n"/>
      <c r="C404" s="46" t="n"/>
      <c r="D404" s="46" t="n"/>
      <c r="E404" s="46" t="n"/>
      <c r="F404" s="46">
        <f>IF(C404="","",IF(D404="","",IF(C404="Beginner",1,IF(C404="Intermediate",2,IF(C404="Advanced",3,4)))-IF(D404="Beginner",1,IF(D404="Intermediate",2,IF(D404="Advanced",3,4)))))</f>
        <v/>
      </c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64">
        <f>IF(N404="","",IF(M404=0,0,MIN(N404/M404,1)))</f>
        <v/>
      </c>
      <c r="Q404" s="46">
        <f>IF(P404="","",REPT("█",ROUND(P404*20,0))&amp;REPT("░",20-ROUND(P404*20,0)))</f>
        <v/>
      </c>
      <c r="R404" s="46" t="n"/>
    </row>
    <row r="405" ht="22" customHeight="1">
      <c r="A405" s="48" t="n"/>
      <c r="B405" s="48" t="n"/>
      <c r="C405" s="48" t="n"/>
      <c r="D405" s="48" t="n"/>
      <c r="E405" s="48" t="n"/>
      <c r="F405" s="48">
        <f>IF(C405="","",IF(D405="","",IF(C405="Beginner",1,IF(C405="Intermediate",2,IF(C405="Advanced",3,4)))-IF(D405="Beginner",1,IF(D405="Intermediate",2,IF(D405="Advanced",3,4)))))</f>
        <v/>
      </c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65">
        <f>IF(N405="","",IF(M405=0,0,MIN(N405/M405,1)))</f>
        <v/>
      </c>
      <c r="Q405" s="48">
        <f>IF(P405="","",REPT("█",ROUND(P405*20,0))&amp;REPT("░",20-ROUND(P405*20,0)))</f>
        <v/>
      </c>
      <c r="R405" s="48" t="n"/>
    </row>
    <row r="406" ht="22" customHeight="1">
      <c r="A406" s="46" t="n"/>
      <c r="B406" s="46" t="n"/>
      <c r="C406" s="46" t="n"/>
      <c r="D406" s="46" t="n"/>
      <c r="E406" s="46" t="n"/>
      <c r="F406" s="46">
        <f>IF(C406="","",IF(D406="","",IF(C406="Beginner",1,IF(C406="Intermediate",2,IF(C406="Advanced",3,4)))-IF(D406="Beginner",1,IF(D406="Intermediate",2,IF(D406="Advanced",3,4)))))</f>
        <v/>
      </c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64">
        <f>IF(N406="","",IF(M406=0,0,MIN(N406/M406,1)))</f>
        <v/>
      </c>
      <c r="Q406" s="46">
        <f>IF(P406="","",REPT("█",ROUND(P406*20,0))&amp;REPT("░",20-ROUND(P406*20,0)))</f>
        <v/>
      </c>
      <c r="R406" s="46" t="n"/>
    </row>
    <row r="407" ht="22" customHeight="1">
      <c r="A407" s="48" t="n"/>
      <c r="B407" s="48" t="n"/>
      <c r="C407" s="48" t="n"/>
      <c r="D407" s="48" t="n"/>
      <c r="E407" s="48" t="n"/>
      <c r="F407" s="48">
        <f>IF(C407="","",IF(D407="","",IF(C407="Beginner",1,IF(C407="Intermediate",2,IF(C407="Advanced",3,4)))-IF(D407="Beginner",1,IF(D407="Intermediate",2,IF(D407="Advanced",3,4)))))</f>
        <v/>
      </c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65">
        <f>IF(N407="","",IF(M407=0,0,MIN(N407/M407,1)))</f>
        <v/>
      </c>
      <c r="Q407" s="48">
        <f>IF(P407="","",REPT("█",ROUND(P407*20,0))&amp;REPT("░",20-ROUND(P407*20,0)))</f>
        <v/>
      </c>
      <c r="R407" s="48" t="n"/>
    </row>
    <row r="408" ht="22" customHeight="1">
      <c r="A408" s="46" t="n"/>
      <c r="B408" s="46" t="n"/>
      <c r="C408" s="46" t="n"/>
      <c r="D408" s="46" t="n"/>
      <c r="E408" s="46" t="n"/>
      <c r="F408" s="46">
        <f>IF(C408="","",IF(D408="","",IF(C408="Beginner",1,IF(C408="Intermediate",2,IF(C408="Advanced",3,4)))-IF(D408="Beginner",1,IF(D408="Intermediate",2,IF(D408="Advanced",3,4)))))</f>
        <v/>
      </c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64">
        <f>IF(N408="","",IF(M408=0,0,MIN(N408/M408,1)))</f>
        <v/>
      </c>
      <c r="Q408" s="46">
        <f>IF(P408="","",REPT("█",ROUND(P408*20,0))&amp;REPT("░",20-ROUND(P408*20,0)))</f>
        <v/>
      </c>
      <c r="R408" s="46" t="n"/>
    </row>
    <row r="409" ht="22" customHeight="1">
      <c r="A409" s="48" t="n"/>
      <c r="B409" s="48" t="n"/>
      <c r="C409" s="48" t="n"/>
      <c r="D409" s="48" t="n"/>
      <c r="E409" s="48" t="n"/>
      <c r="F409" s="48">
        <f>IF(C409="","",IF(D409="","",IF(C409="Beginner",1,IF(C409="Intermediate",2,IF(C409="Advanced",3,4)))-IF(D409="Beginner",1,IF(D409="Intermediate",2,IF(D409="Advanced",3,4)))))</f>
        <v/>
      </c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65">
        <f>IF(N409="","",IF(M409=0,0,MIN(N409/M409,1)))</f>
        <v/>
      </c>
      <c r="Q409" s="48">
        <f>IF(P409="","",REPT("█",ROUND(P409*20,0))&amp;REPT("░",20-ROUND(P409*20,0)))</f>
        <v/>
      </c>
      <c r="R409" s="48" t="n"/>
    </row>
    <row r="410" ht="22" customHeight="1">
      <c r="A410" s="46" t="n"/>
      <c r="B410" s="46" t="n"/>
      <c r="C410" s="46" t="n"/>
      <c r="D410" s="46" t="n"/>
      <c r="E410" s="46" t="n"/>
      <c r="F410" s="46">
        <f>IF(C410="","",IF(D410="","",IF(C410="Beginner",1,IF(C410="Intermediate",2,IF(C410="Advanced",3,4)))-IF(D410="Beginner",1,IF(D410="Intermediate",2,IF(D410="Advanced",3,4)))))</f>
        <v/>
      </c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64">
        <f>IF(N410="","",IF(M410=0,0,MIN(N410/M410,1)))</f>
        <v/>
      </c>
      <c r="Q410" s="46">
        <f>IF(P410="","",REPT("█",ROUND(P410*20,0))&amp;REPT("░",20-ROUND(P410*20,0)))</f>
        <v/>
      </c>
      <c r="R410" s="46" t="n"/>
    </row>
    <row r="411" ht="22" customHeight="1">
      <c r="A411" s="48" t="n"/>
      <c r="B411" s="48" t="n"/>
      <c r="C411" s="48" t="n"/>
      <c r="D411" s="48" t="n"/>
      <c r="E411" s="48" t="n"/>
      <c r="F411" s="48">
        <f>IF(C411="","",IF(D411="","",IF(C411="Beginner",1,IF(C411="Intermediate",2,IF(C411="Advanced",3,4)))-IF(D411="Beginner",1,IF(D411="Intermediate",2,IF(D411="Advanced",3,4)))))</f>
        <v/>
      </c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65">
        <f>IF(N411="","",IF(M411=0,0,MIN(N411/M411,1)))</f>
        <v/>
      </c>
      <c r="Q411" s="48">
        <f>IF(P411="","",REPT("█",ROUND(P411*20,0))&amp;REPT("░",20-ROUND(P411*20,0)))</f>
        <v/>
      </c>
      <c r="R411" s="48" t="n"/>
    </row>
    <row r="412" ht="22" customHeight="1">
      <c r="A412" s="46" t="n"/>
      <c r="B412" s="46" t="n"/>
      <c r="C412" s="46" t="n"/>
      <c r="D412" s="46" t="n"/>
      <c r="E412" s="46" t="n"/>
      <c r="F412" s="46">
        <f>IF(C412="","",IF(D412="","",IF(C412="Beginner",1,IF(C412="Intermediate",2,IF(C412="Advanced",3,4)))-IF(D412="Beginner",1,IF(D412="Intermediate",2,IF(D412="Advanced",3,4)))))</f>
        <v/>
      </c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64">
        <f>IF(N412="","",IF(M412=0,0,MIN(N412/M412,1)))</f>
        <v/>
      </c>
      <c r="Q412" s="46">
        <f>IF(P412="","",REPT("█",ROUND(P412*20,0))&amp;REPT("░",20-ROUND(P412*20,0)))</f>
        <v/>
      </c>
      <c r="R412" s="46" t="n"/>
    </row>
    <row r="413" ht="22" customHeight="1">
      <c r="A413" s="48" t="n"/>
      <c r="B413" s="48" t="n"/>
      <c r="C413" s="48" t="n"/>
      <c r="D413" s="48" t="n"/>
      <c r="E413" s="48" t="n"/>
      <c r="F413" s="48">
        <f>IF(C413="","",IF(D413="","",IF(C413="Beginner",1,IF(C413="Intermediate",2,IF(C413="Advanced",3,4)))-IF(D413="Beginner",1,IF(D413="Intermediate",2,IF(D413="Advanced",3,4)))))</f>
        <v/>
      </c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65">
        <f>IF(N413="","",IF(M413=0,0,MIN(N413/M413,1)))</f>
        <v/>
      </c>
      <c r="Q413" s="48">
        <f>IF(P413="","",REPT("█",ROUND(P413*20,0))&amp;REPT("░",20-ROUND(P413*20,0)))</f>
        <v/>
      </c>
      <c r="R413" s="48" t="n"/>
    </row>
    <row r="414" ht="22" customHeight="1">
      <c r="A414" s="46" t="n"/>
      <c r="B414" s="46" t="n"/>
      <c r="C414" s="46" t="n"/>
      <c r="D414" s="46" t="n"/>
      <c r="E414" s="46" t="n"/>
      <c r="F414" s="46">
        <f>IF(C414="","",IF(D414="","",IF(C414="Beginner",1,IF(C414="Intermediate",2,IF(C414="Advanced",3,4)))-IF(D414="Beginner",1,IF(D414="Intermediate",2,IF(D414="Advanced",3,4)))))</f>
        <v/>
      </c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64">
        <f>IF(N414="","",IF(M414=0,0,MIN(N414/M414,1)))</f>
        <v/>
      </c>
      <c r="Q414" s="46">
        <f>IF(P414="","",REPT("█",ROUND(P414*20,0))&amp;REPT("░",20-ROUND(P414*20,0)))</f>
        <v/>
      </c>
      <c r="R414" s="46" t="n"/>
    </row>
    <row r="415" ht="22" customHeight="1">
      <c r="A415" s="48" t="n"/>
      <c r="B415" s="48" t="n"/>
      <c r="C415" s="48" t="n"/>
      <c r="D415" s="48" t="n"/>
      <c r="E415" s="48" t="n"/>
      <c r="F415" s="48">
        <f>IF(C415="","",IF(D415="","",IF(C415="Beginner",1,IF(C415="Intermediate",2,IF(C415="Advanced",3,4)))-IF(D415="Beginner",1,IF(D415="Intermediate",2,IF(D415="Advanced",3,4)))))</f>
        <v/>
      </c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65">
        <f>IF(N415="","",IF(M415=0,0,MIN(N415/M415,1)))</f>
        <v/>
      </c>
      <c r="Q415" s="48">
        <f>IF(P415="","",REPT("█",ROUND(P415*20,0))&amp;REPT("░",20-ROUND(P415*20,0)))</f>
        <v/>
      </c>
      <c r="R415" s="48" t="n"/>
    </row>
    <row r="416" ht="22" customHeight="1">
      <c r="A416" s="46" t="n"/>
      <c r="B416" s="46" t="n"/>
      <c r="C416" s="46" t="n"/>
      <c r="D416" s="46" t="n"/>
      <c r="E416" s="46" t="n"/>
      <c r="F416" s="46">
        <f>IF(C416="","",IF(D416="","",IF(C416="Beginner",1,IF(C416="Intermediate",2,IF(C416="Advanced",3,4)))-IF(D416="Beginner",1,IF(D416="Intermediate",2,IF(D416="Advanced",3,4)))))</f>
        <v/>
      </c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64">
        <f>IF(N416="","",IF(M416=0,0,MIN(N416/M416,1)))</f>
        <v/>
      </c>
      <c r="Q416" s="46">
        <f>IF(P416="","",REPT("█",ROUND(P416*20,0))&amp;REPT("░",20-ROUND(P416*20,0)))</f>
        <v/>
      </c>
      <c r="R416" s="46" t="n"/>
    </row>
    <row r="417" ht="22" customHeight="1">
      <c r="A417" s="48" t="n"/>
      <c r="B417" s="48" t="n"/>
      <c r="C417" s="48" t="n"/>
      <c r="D417" s="48" t="n"/>
      <c r="E417" s="48" t="n"/>
      <c r="F417" s="48">
        <f>IF(C417="","",IF(D417="","",IF(C417="Beginner",1,IF(C417="Intermediate",2,IF(C417="Advanced",3,4)))-IF(D417="Beginner",1,IF(D417="Intermediate",2,IF(D417="Advanced",3,4)))))</f>
        <v/>
      </c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65">
        <f>IF(N417="","",IF(M417=0,0,MIN(N417/M417,1)))</f>
        <v/>
      </c>
      <c r="Q417" s="48">
        <f>IF(P417="","",REPT("█",ROUND(P417*20,0))&amp;REPT("░",20-ROUND(P417*20,0)))</f>
        <v/>
      </c>
      <c r="R417" s="48" t="n"/>
    </row>
    <row r="418" ht="22" customHeight="1">
      <c r="A418" s="46" t="n"/>
      <c r="B418" s="46" t="n"/>
      <c r="C418" s="46" t="n"/>
      <c r="D418" s="46" t="n"/>
      <c r="E418" s="46" t="n"/>
      <c r="F418" s="46">
        <f>IF(C418="","",IF(D418="","",IF(C418="Beginner",1,IF(C418="Intermediate",2,IF(C418="Advanced",3,4)))-IF(D418="Beginner",1,IF(D418="Intermediate",2,IF(D418="Advanced",3,4)))))</f>
        <v/>
      </c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64">
        <f>IF(N418="","",IF(M418=0,0,MIN(N418/M418,1)))</f>
        <v/>
      </c>
      <c r="Q418" s="46">
        <f>IF(P418="","",REPT("█",ROUND(P418*20,0))&amp;REPT("░",20-ROUND(P418*20,0)))</f>
        <v/>
      </c>
      <c r="R418" s="46" t="n"/>
    </row>
    <row r="419" ht="22" customHeight="1">
      <c r="A419" s="48" t="n"/>
      <c r="B419" s="48" t="n"/>
      <c r="C419" s="48" t="n"/>
      <c r="D419" s="48" t="n"/>
      <c r="E419" s="48" t="n"/>
      <c r="F419" s="48">
        <f>IF(C419="","",IF(D419="","",IF(C419="Beginner",1,IF(C419="Intermediate",2,IF(C419="Advanced",3,4)))-IF(D419="Beginner",1,IF(D419="Intermediate",2,IF(D419="Advanced",3,4)))))</f>
        <v/>
      </c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65">
        <f>IF(N419="","",IF(M419=0,0,MIN(N419/M419,1)))</f>
        <v/>
      </c>
      <c r="Q419" s="48">
        <f>IF(P419="","",REPT("█",ROUND(P419*20,0))&amp;REPT("░",20-ROUND(P419*20,0)))</f>
        <v/>
      </c>
      <c r="R419" s="48" t="n"/>
    </row>
    <row r="420" ht="22" customHeight="1">
      <c r="A420" s="46" t="n"/>
      <c r="B420" s="46" t="n"/>
      <c r="C420" s="46" t="n"/>
      <c r="D420" s="46" t="n"/>
      <c r="E420" s="46" t="n"/>
      <c r="F420" s="46">
        <f>IF(C420="","",IF(D420="","",IF(C420="Beginner",1,IF(C420="Intermediate",2,IF(C420="Advanced",3,4)))-IF(D420="Beginner",1,IF(D420="Intermediate",2,IF(D420="Advanced",3,4)))))</f>
        <v/>
      </c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64">
        <f>IF(N420="","",IF(M420=0,0,MIN(N420/M420,1)))</f>
        <v/>
      </c>
      <c r="Q420" s="46">
        <f>IF(P420="","",REPT("█",ROUND(P420*20,0))&amp;REPT("░",20-ROUND(P420*20,0)))</f>
        <v/>
      </c>
      <c r="R420" s="46" t="n"/>
    </row>
    <row r="421" ht="22" customHeight="1">
      <c r="A421" s="48" t="n"/>
      <c r="B421" s="48" t="n"/>
      <c r="C421" s="48" t="n"/>
      <c r="D421" s="48" t="n"/>
      <c r="E421" s="48" t="n"/>
      <c r="F421" s="48">
        <f>IF(C421="","",IF(D421="","",IF(C421="Beginner",1,IF(C421="Intermediate",2,IF(C421="Advanced",3,4)))-IF(D421="Beginner",1,IF(D421="Intermediate",2,IF(D421="Advanced",3,4)))))</f>
        <v/>
      </c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65">
        <f>IF(N421="","",IF(M421=0,0,MIN(N421/M421,1)))</f>
        <v/>
      </c>
      <c r="Q421" s="48">
        <f>IF(P421="","",REPT("█",ROUND(P421*20,0))&amp;REPT("░",20-ROUND(P421*20,0)))</f>
        <v/>
      </c>
      <c r="R421" s="48" t="n"/>
    </row>
    <row r="422" ht="22" customHeight="1">
      <c r="A422" s="46" t="n"/>
      <c r="B422" s="46" t="n"/>
      <c r="C422" s="46" t="n"/>
      <c r="D422" s="46" t="n"/>
      <c r="E422" s="46" t="n"/>
      <c r="F422" s="46">
        <f>IF(C422="","",IF(D422="","",IF(C422="Beginner",1,IF(C422="Intermediate",2,IF(C422="Advanced",3,4)))-IF(D422="Beginner",1,IF(D422="Intermediate",2,IF(D422="Advanced",3,4)))))</f>
        <v/>
      </c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64">
        <f>IF(N422="","",IF(M422=0,0,MIN(N422/M422,1)))</f>
        <v/>
      </c>
      <c r="Q422" s="46">
        <f>IF(P422="","",REPT("█",ROUND(P422*20,0))&amp;REPT("░",20-ROUND(P422*20,0)))</f>
        <v/>
      </c>
      <c r="R422" s="46" t="n"/>
    </row>
    <row r="423" ht="22" customHeight="1">
      <c r="A423" s="48" t="n"/>
      <c r="B423" s="48" t="n"/>
      <c r="C423" s="48" t="n"/>
      <c r="D423" s="48" t="n"/>
      <c r="E423" s="48" t="n"/>
      <c r="F423" s="48">
        <f>IF(C423="","",IF(D423="","",IF(C423="Beginner",1,IF(C423="Intermediate",2,IF(C423="Advanced",3,4)))-IF(D423="Beginner",1,IF(D423="Intermediate",2,IF(D423="Advanced",3,4)))))</f>
        <v/>
      </c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65">
        <f>IF(N423="","",IF(M423=0,0,MIN(N423/M423,1)))</f>
        <v/>
      </c>
      <c r="Q423" s="48">
        <f>IF(P423="","",REPT("█",ROUND(P423*20,0))&amp;REPT("░",20-ROUND(P423*20,0)))</f>
        <v/>
      </c>
      <c r="R423" s="48" t="n"/>
    </row>
    <row r="424" ht="22" customHeight="1">
      <c r="A424" s="46" t="n"/>
      <c r="B424" s="46" t="n"/>
      <c r="C424" s="46" t="n"/>
      <c r="D424" s="46" t="n"/>
      <c r="E424" s="46" t="n"/>
      <c r="F424" s="46">
        <f>IF(C424="","",IF(D424="","",IF(C424="Beginner",1,IF(C424="Intermediate",2,IF(C424="Advanced",3,4)))-IF(D424="Beginner",1,IF(D424="Intermediate",2,IF(D424="Advanced",3,4)))))</f>
        <v/>
      </c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64">
        <f>IF(N424="","",IF(M424=0,0,MIN(N424/M424,1)))</f>
        <v/>
      </c>
      <c r="Q424" s="46">
        <f>IF(P424="","",REPT("█",ROUND(P424*20,0))&amp;REPT("░",20-ROUND(P424*20,0)))</f>
        <v/>
      </c>
      <c r="R424" s="46" t="n"/>
    </row>
    <row r="425" ht="22" customHeight="1">
      <c r="A425" s="48" t="n"/>
      <c r="B425" s="48" t="n"/>
      <c r="C425" s="48" t="n"/>
      <c r="D425" s="48" t="n"/>
      <c r="E425" s="48" t="n"/>
      <c r="F425" s="48">
        <f>IF(C425="","",IF(D425="","",IF(C425="Beginner",1,IF(C425="Intermediate",2,IF(C425="Advanced",3,4)))-IF(D425="Beginner",1,IF(D425="Intermediate",2,IF(D425="Advanced",3,4)))))</f>
        <v/>
      </c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65">
        <f>IF(N425="","",IF(M425=0,0,MIN(N425/M425,1)))</f>
        <v/>
      </c>
      <c r="Q425" s="48">
        <f>IF(P425="","",REPT("█",ROUND(P425*20,0))&amp;REPT("░",20-ROUND(P425*20,0)))</f>
        <v/>
      </c>
      <c r="R425" s="48" t="n"/>
    </row>
    <row r="426" ht="22" customHeight="1">
      <c r="A426" s="46" t="n"/>
      <c r="B426" s="46" t="n"/>
      <c r="C426" s="46" t="n"/>
      <c r="D426" s="46" t="n"/>
      <c r="E426" s="46" t="n"/>
      <c r="F426" s="46">
        <f>IF(C426="","",IF(D426="","",IF(C426="Beginner",1,IF(C426="Intermediate",2,IF(C426="Advanced",3,4)))-IF(D426="Beginner",1,IF(D426="Intermediate",2,IF(D426="Advanced",3,4)))))</f>
        <v/>
      </c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64">
        <f>IF(N426="","",IF(M426=0,0,MIN(N426/M426,1)))</f>
        <v/>
      </c>
      <c r="Q426" s="46">
        <f>IF(P426="","",REPT("█",ROUND(P426*20,0))&amp;REPT("░",20-ROUND(P426*20,0)))</f>
        <v/>
      </c>
      <c r="R426" s="46" t="n"/>
    </row>
    <row r="427" ht="22" customHeight="1">
      <c r="A427" s="48" t="n"/>
      <c r="B427" s="48" t="n"/>
      <c r="C427" s="48" t="n"/>
      <c r="D427" s="48" t="n"/>
      <c r="E427" s="48" t="n"/>
      <c r="F427" s="48">
        <f>IF(C427="","",IF(D427="","",IF(C427="Beginner",1,IF(C427="Intermediate",2,IF(C427="Advanced",3,4)))-IF(D427="Beginner",1,IF(D427="Intermediate",2,IF(D427="Advanced",3,4)))))</f>
        <v/>
      </c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65">
        <f>IF(N427="","",IF(M427=0,0,MIN(N427/M427,1)))</f>
        <v/>
      </c>
      <c r="Q427" s="48">
        <f>IF(P427="","",REPT("█",ROUND(P427*20,0))&amp;REPT("░",20-ROUND(P427*20,0)))</f>
        <v/>
      </c>
      <c r="R427" s="48" t="n"/>
    </row>
    <row r="428" ht="22" customHeight="1">
      <c r="A428" s="46" t="n"/>
      <c r="B428" s="46" t="n"/>
      <c r="C428" s="46" t="n"/>
      <c r="D428" s="46" t="n"/>
      <c r="E428" s="46" t="n"/>
      <c r="F428" s="46">
        <f>IF(C428="","",IF(D428="","",IF(C428="Beginner",1,IF(C428="Intermediate",2,IF(C428="Advanced",3,4)))-IF(D428="Beginner",1,IF(D428="Intermediate",2,IF(D428="Advanced",3,4)))))</f>
        <v/>
      </c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64">
        <f>IF(N428="","",IF(M428=0,0,MIN(N428/M428,1)))</f>
        <v/>
      </c>
      <c r="Q428" s="46">
        <f>IF(P428="","",REPT("█",ROUND(P428*20,0))&amp;REPT("░",20-ROUND(P428*20,0)))</f>
        <v/>
      </c>
      <c r="R428" s="46" t="n"/>
    </row>
    <row r="429" ht="22" customHeight="1">
      <c r="A429" s="48" t="n"/>
      <c r="B429" s="48" t="n"/>
      <c r="C429" s="48" t="n"/>
      <c r="D429" s="48" t="n"/>
      <c r="E429" s="48" t="n"/>
      <c r="F429" s="48">
        <f>IF(C429="","",IF(D429="","",IF(C429="Beginner",1,IF(C429="Intermediate",2,IF(C429="Advanced",3,4)))-IF(D429="Beginner",1,IF(D429="Intermediate",2,IF(D429="Advanced",3,4)))))</f>
        <v/>
      </c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65">
        <f>IF(N429="","",IF(M429=0,0,MIN(N429/M429,1)))</f>
        <v/>
      </c>
      <c r="Q429" s="48">
        <f>IF(P429="","",REPT("█",ROUND(P429*20,0))&amp;REPT("░",20-ROUND(P429*20,0)))</f>
        <v/>
      </c>
      <c r="R429" s="48" t="n"/>
    </row>
    <row r="430" ht="22" customHeight="1">
      <c r="A430" s="46" t="n"/>
      <c r="B430" s="46" t="n"/>
      <c r="C430" s="46" t="n"/>
      <c r="D430" s="46" t="n"/>
      <c r="E430" s="46" t="n"/>
      <c r="F430" s="46">
        <f>IF(C430="","",IF(D430="","",IF(C430="Beginner",1,IF(C430="Intermediate",2,IF(C430="Advanced",3,4)))-IF(D430="Beginner",1,IF(D430="Intermediate",2,IF(D430="Advanced",3,4)))))</f>
        <v/>
      </c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64">
        <f>IF(N430="","",IF(M430=0,0,MIN(N430/M430,1)))</f>
        <v/>
      </c>
      <c r="Q430" s="46">
        <f>IF(P430="","",REPT("█",ROUND(P430*20,0))&amp;REPT("░",20-ROUND(P430*20,0)))</f>
        <v/>
      </c>
      <c r="R430" s="46" t="n"/>
    </row>
    <row r="431" ht="22" customHeight="1">
      <c r="A431" s="48" t="n"/>
      <c r="B431" s="48" t="n"/>
      <c r="C431" s="48" t="n"/>
      <c r="D431" s="48" t="n"/>
      <c r="E431" s="48" t="n"/>
      <c r="F431" s="48">
        <f>IF(C431="","",IF(D431="","",IF(C431="Beginner",1,IF(C431="Intermediate",2,IF(C431="Advanced",3,4)))-IF(D431="Beginner",1,IF(D431="Intermediate",2,IF(D431="Advanced",3,4)))))</f>
        <v/>
      </c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65">
        <f>IF(N431="","",IF(M431=0,0,MIN(N431/M431,1)))</f>
        <v/>
      </c>
      <c r="Q431" s="48">
        <f>IF(P431="","",REPT("█",ROUND(P431*20,0))&amp;REPT("░",20-ROUND(P431*20,0)))</f>
        <v/>
      </c>
      <c r="R431" s="48" t="n"/>
    </row>
    <row r="432" ht="22" customHeight="1">
      <c r="A432" s="46" t="n"/>
      <c r="B432" s="46" t="n"/>
      <c r="C432" s="46" t="n"/>
      <c r="D432" s="46" t="n"/>
      <c r="E432" s="46" t="n"/>
      <c r="F432" s="46">
        <f>IF(C432="","",IF(D432="","",IF(C432="Beginner",1,IF(C432="Intermediate",2,IF(C432="Advanced",3,4)))-IF(D432="Beginner",1,IF(D432="Intermediate",2,IF(D432="Advanced",3,4)))))</f>
        <v/>
      </c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64">
        <f>IF(N432="","",IF(M432=0,0,MIN(N432/M432,1)))</f>
        <v/>
      </c>
      <c r="Q432" s="46">
        <f>IF(P432="","",REPT("█",ROUND(P432*20,0))&amp;REPT("░",20-ROUND(P432*20,0)))</f>
        <v/>
      </c>
      <c r="R432" s="46" t="n"/>
    </row>
    <row r="433" ht="22" customHeight="1">
      <c r="A433" s="48" t="n"/>
      <c r="B433" s="48" t="n"/>
      <c r="C433" s="48" t="n"/>
      <c r="D433" s="48" t="n"/>
      <c r="E433" s="48" t="n"/>
      <c r="F433" s="48">
        <f>IF(C433="","",IF(D433="","",IF(C433="Beginner",1,IF(C433="Intermediate",2,IF(C433="Advanced",3,4)))-IF(D433="Beginner",1,IF(D433="Intermediate",2,IF(D433="Advanced",3,4)))))</f>
        <v/>
      </c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65">
        <f>IF(N433="","",IF(M433=0,0,MIN(N433/M433,1)))</f>
        <v/>
      </c>
      <c r="Q433" s="48">
        <f>IF(P433="","",REPT("█",ROUND(P433*20,0))&amp;REPT("░",20-ROUND(P433*20,0)))</f>
        <v/>
      </c>
      <c r="R433" s="48" t="n"/>
    </row>
    <row r="434" ht="22" customHeight="1">
      <c r="A434" s="46" t="n"/>
      <c r="B434" s="46" t="n"/>
      <c r="C434" s="46" t="n"/>
      <c r="D434" s="46" t="n"/>
      <c r="E434" s="46" t="n"/>
      <c r="F434" s="46">
        <f>IF(C434="","",IF(D434="","",IF(C434="Beginner",1,IF(C434="Intermediate",2,IF(C434="Advanced",3,4)))-IF(D434="Beginner",1,IF(D434="Intermediate",2,IF(D434="Advanced",3,4)))))</f>
        <v/>
      </c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64">
        <f>IF(N434="","",IF(M434=0,0,MIN(N434/M434,1)))</f>
        <v/>
      </c>
      <c r="Q434" s="46">
        <f>IF(P434="","",REPT("█",ROUND(P434*20,0))&amp;REPT("░",20-ROUND(P434*20,0)))</f>
        <v/>
      </c>
      <c r="R434" s="46" t="n"/>
    </row>
    <row r="435" ht="22" customHeight="1">
      <c r="A435" s="48" t="n"/>
      <c r="B435" s="48" t="n"/>
      <c r="C435" s="48" t="n"/>
      <c r="D435" s="48" t="n"/>
      <c r="E435" s="48" t="n"/>
      <c r="F435" s="48">
        <f>IF(C435="","",IF(D435="","",IF(C435="Beginner",1,IF(C435="Intermediate",2,IF(C435="Advanced",3,4)))-IF(D435="Beginner",1,IF(D435="Intermediate",2,IF(D435="Advanced",3,4)))))</f>
        <v/>
      </c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65">
        <f>IF(N435="","",IF(M435=0,0,MIN(N435/M435,1)))</f>
        <v/>
      </c>
      <c r="Q435" s="48">
        <f>IF(P435="","",REPT("█",ROUND(P435*20,0))&amp;REPT("░",20-ROUND(P435*20,0)))</f>
        <v/>
      </c>
      <c r="R435" s="48" t="n"/>
    </row>
    <row r="436" ht="22" customHeight="1">
      <c r="A436" s="46" t="n"/>
      <c r="B436" s="46" t="n"/>
      <c r="C436" s="46" t="n"/>
      <c r="D436" s="46" t="n"/>
      <c r="E436" s="46" t="n"/>
      <c r="F436" s="46">
        <f>IF(C436="","",IF(D436="","",IF(C436="Beginner",1,IF(C436="Intermediate",2,IF(C436="Advanced",3,4)))-IF(D436="Beginner",1,IF(D436="Intermediate",2,IF(D436="Advanced",3,4)))))</f>
        <v/>
      </c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64">
        <f>IF(N436="","",IF(M436=0,0,MIN(N436/M436,1)))</f>
        <v/>
      </c>
      <c r="Q436" s="46">
        <f>IF(P436="","",REPT("█",ROUND(P436*20,0))&amp;REPT("░",20-ROUND(P436*20,0)))</f>
        <v/>
      </c>
      <c r="R436" s="46" t="n"/>
    </row>
    <row r="437" ht="22" customHeight="1">
      <c r="A437" s="48" t="n"/>
      <c r="B437" s="48" t="n"/>
      <c r="C437" s="48" t="n"/>
      <c r="D437" s="48" t="n"/>
      <c r="E437" s="48" t="n"/>
      <c r="F437" s="48">
        <f>IF(C437="","",IF(D437="","",IF(C437="Beginner",1,IF(C437="Intermediate",2,IF(C437="Advanced",3,4)))-IF(D437="Beginner",1,IF(D437="Intermediate",2,IF(D437="Advanced",3,4)))))</f>
        <v/>
      </c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65">
        <f>IF(N437="","",IF(M437=0,0,MIN(N437/M437,1)))</f>
        <v/>
      </c>
      <c r="Q437" s="48">
        <f>IF(P437="","",REPT("█",ROUND(P437*20,0))&amp;REPT("░",20-ROUND(P437*20,0)))</f>
        <v/>
      </c>
      <c r="R437" s="48" t="n"/>
    </row>
    <row r="438" ht="22" customHeight="1">
      <c r="A438" s="46" t="n"/>
      <c r="B438" s="46" t="n"/>
      <c r="C438" s="46" t="n"/>
      <c r="D438" s="46" t="n"/>
      <c r="E438" s="46" t="n"/>
      <c r="F438" s="46">
        <f>IF(C438="","",IF(D438="","",IF(C438="Beginner",1,IF(C438="Intermediate",2,IF(C438="Advanced",3,4)))-IF(D438="Beginner",1,IF(D438="Intermediate",2,IF(D438="Advanced",3,4)))))</f>
        <v/>
      </c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64">
        <f>IF(N438="","",IF(M438=0,0,MIN(N438/M438,1)))</f>
        <v/>
      </c>
      <c r="Q438" s="46">
        <f>IF(P438="","",REPT("█",ROUND(P438*20,0))&amp;REPT("░",20-ROUND(P438*20,0)))</f>
        <v/>
      </c>
      <c r="R438" s="46" t="n"/>
    </row>
    <row r="439" ht="22" customHeight="1">
      <c r="A439" s="48" t="n"/>
      <c r="B439" s="48" t="n"/>
      <c r="C439" s="48" t="n"/>
      <c r="D439" s="48" t="n"/>
      <c r="E439" s="48" t="n"/>
      <c r="F439" s="48">
        <f>IF(C439="","",IF(D439="","",IF(C439="Beginner",1,IF(C439="Intermediate",2,IF(C439="Advanced",3,4)))-IF(D439="Beginner",1,IF(D439="Intermediate",2,IF(D439="Advanced",3,4)))))</f>
        <v/>
      </c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65">
        <f>IF(N439="","",IF(M439=0,0,MIN(N439/M439,1)))</f>
        <v/>
      </c>
      <c r="Q439" s="48">
        <f>IF(P439="","",REPT("█",ROUND(P439*20,0))&amp;REPT("░",20-ROUND(P439*20,0)))</f>
        <v/>
      </c>
      <c r="R439" s="48" t="n"/>
    </row>
    <row r="440" ht="22" customHeight="1">
      <c r="A440" s="46" t="n"/>
      <c r="B440" s="46" t="n"/>
      <c r="C440" s="46" t="n"/>
      <c r="D440" s="46" t="n"/>
      <c r="E440" s="46" t="n"/>
      <c r="F440" s="46">
        <f>IF(C440="","",IF(D440="","",IF(C440="Beginner",1,IF(C440="Intermediate",2,IF(C440="Advanced",3,4)))-IF(D440="Beginner",1,IF(D440="Intermediate",2,IF(D440="Advanced",3,4)))))</f>
        <v/>
      </c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64">
        <f>IF(N440="","",IF(M440=0,0,MIN(N440/M440,1)))</f>
        <v/>
      </c>
      <c r="Q440" s="46">
        <f>IF(P440="","",REPT("█",ROUND(P440*20,0))&amp;REPT("░",20-ROUND(P440*20,0)))</f>
        <v/>
      </c>
      <c r="R440" s="46" t="n"/>
    </row>
    <row r="441" ht="22" customHeight="1">
      <c r="A441" s="48" t="n"/>
      <c r="B441" s="48" t="n"/>
      <c r="C441" s="48" t="n"/>
      <c r="D441" s="48" t="n"/>
      <c r="E441" s="48" t="n"/>
      <c r="F441" s="48">
        <f>IF(C441="","",IF(D441="","",IF(C441="Beginner",1,IF(C441="Intermediate",2,IF(C441="Advanced",3,4)))-IF(D441="Beginner",1,IF(D441="Intermediate",2,IF(D441="Advanced",3,4)))))</f>
        <v/>
      </c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65">
        <f>IF(N441="","",IF(M441=0,0,MIN(N441/M441,1)))</f>
        <v/>
      </c>
      <c r="Q441" s="48">
        <f>IF(P441="","",REPT("█",ROUND(P441*20,0))&amp;REPT("░",20-ROUND(P441*20,0)))</f>
        <v/>
      </c>
      <c r="R441" s="48" t="n"/>
    </row>
    <row r="442" ht="22" customHeight="1">
      <c r="A442" s="46" t="n"/>
      <c r="B442" s="46" t="n"/>
      <c r="C442" s="46" t="n"/>
      <c r="D442" s="46" t="n"/>
      <c r="E442" s="46" t="n"/>
      <c r="F442" s="46">
        <f>IF(C442="","",IF(D442="","",IF(C442="Beginner",1,IF(C442="Intermediate",2,IF(C442="Advanced",3,4)))-IF(D442="Beginner",1,IF(D442="Intermediate",2,IF(D442="Advanced",3,4)))))</f>
        <v/>
      </c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64">
        <f>IF(N442="","",IF(M442=0,0,MIN(N442/M442,1)))</f>
        <v/>
      </c>
      <c r="Q442" s="46">
        <f>IF(P442="","",REPT("█",ROUND(P442*20,0))&amp;REPT("░",20-ROUND(P442*20,0)))</f>
        <v/>
      </c>
      <c r="R442" s="46" t="n"/>
    </row>
    <row r="443" ht="22" customHeight="1">
      <c r="A443" s="48" t="n"/>
      <c r="B443" s="48" t="n"/>
      <c r="C443" s="48" t="n"/>
      <c r="D443" s="48" t="n"/>
      <c r="E443" s="48" t="n"/>
      <c r="F443" s="48">
        <f>IF(C443="","",IF(D443="","",IF(C443="Beginner",1,IF(C443="Intermediate",2,IF(C443="Advanced",3,4)))-IF(D443="Beginner",1,IF(D443="Intermediate",2,IF(D443="Advanced",3,4)))))</f>
        <v/>
      </c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65">
        <f>IF(N443="","",IF(M443=0,0,MIN(N443/M443,1)))</f>
        <v/>
      </c>
      <c r="Q443" s="48">
        <f>IF(P443="","",REPT("█",ROUND(P443*20,0))&amp;REPT("░",20-ROUND(P443*20,0)))</f>
        <v/>
      </c>
      <c r="R443" s="48" t="n"/>
    </row>
    <row r="444" ht="22" customHeight="1">
      <c r="A444" s="46" t="n"/>
      <c r="B444" s="46" t="n"/>
      <c r="C444" s="46" t="n"/>
      <c r="D444" s="46" t="n"/>
      <c r="E444" s="46" t="n"/>
      <c r="F444" s="46">
        <f>IF(C444="","",IF(D444="","",IF(C444="Beginner",1,IF(C444="Intermediate",2,IF(C444="Advanced",3,4)))-IF(D444="Beginner",1,IF(D444="Intermediate",2,IF(D444="Advanced",3,4)))))</f>
        <v/>
      </c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64">
        <f>IF(N444="","",IF(M444=0,0,MIN(N444/M444,1)))</f>
        <v/>
      </c>
      <c r="Q444" s="46">
        <f>IF(P444="","",REPT("█",ROUND(P444*20,0))&amp;REPT("░",20-ROUND(P444*20,0)))</f>
        <v/>
      </c>
      <c r="R444" s="46" t="n"/>
    </row>
    <row r="445" ht="22" customHeight="1">
      <c r="A445" s="48" t="n"/>
      <c r="B445" s="48" t="n"/>
      <c r="C445" s="48" t="n"/>
      <c r="D445" s="48" t="n"/>
      <c r="E445" s="48" t="n"/>
      <c r="F445" s="48">
        <f>IF(C445="","",IF(D445="","",IF(C445="Beginner",1,IF(C445="Intermediate",2,IF(C445="Advanced",3,4)))-IF(D445="Beginner",1,IF(D445="Intermediate",2,IF(D445="Advanced",3,4)))))</f>
        <v/>
      </c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65">
        <f>IF(N445="","",IF(M445=0,0,MIN(N445/M445,1)))</f>
        <v/>
      </c>
      <c r="Q445" s="48">
        <f>IF(P445="","",REPT("█",ROUND(P445*20,0))&amp;REPT("░",20-ROUND(P445*20,0)))</f>
        <v/>
      </c>
      <c r="R445" s="48" t="n"/>
    </row>
    <row r="446" ht="22" customHeight="1">
      <c r="A446" s="46" t="n"/>
      <c r="B446" s="46" t="n"/>
      <c r="C446" s="46" t="n"/>
      <c r="D446" s="46" t="n"/>
      <c r="E446" s="46" t="n"/>
      <c r="F446" s="46">
        <f>IF(C446="","",IF(D446="","",IF(C446="Beginner",1,IF(C446="Intermediate",2,IF(C446="Advanced",3,4)))-IF(D446="Beginner",1,IF(D446="Intermediate",2,IF(D446="Advanced",3,4)))))</f>
        <v/>
      </c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64">
        <f>IF(N446="","",IF(M446=0,0,MIN(N446/M446,1)))</f>
        <v/>
      </c>
      <c r="Q446" s="46">
        <f>IF(P446="","",REPT("█",ROUND(P446*20,0))&amp;REPT("░",20-ROUND(P446*20,0)))</f>
        <v/>
      </c>
      <c r="R446" s="46" t="n"/>
    </row>
    <row r="447" ht="22" customHeight="1">
      <c r="A447" s="48" t="n"/>
      <c r="B447" s="48" t="n"/>
      <c r="C447" s="48" t="n"/>
      <c r="D447" s="48" t="n"/>
      <c r="E447" s="48" t="n"/>
      <c r="F447" s="48">
        <f>IF(C447="","",IF(D447="","",IF(C447="Beginner",1,IF(C447="Intermediate",2,IF(C447="Advanced",3,4)))-IF(D447="Beginner",1,IF(D447="Intermediate",2,IF(D447="Advanced",3,4)))))</f>
        <v/>
      </c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65">
        <f>IF(N447="","",IF(M447=0,0,MIN(N447/M447,1)))</f>
        <v/>
      </c>
      <c r="Q447" s="48">
        <f>IF(P447="","",REPT("█",ROUND(P447*20,0))&amp;REPT("░",20-ROUND(P447*20,0)))</f>
        <v/>
      </c>
      <c r="R447" s="48" t="n"/>
    </row>
    <row r="448" ht="22" customHeight="1">
      <c r="A448" s="46" t="n"/>
      <c r="B448" s="46" t="n"/>
      <c r="C448" s="46" t="n"/>
      <c r="D448" s="46" t="n"/>
      <c r="E448" s="46" t="n"/>
      <c r="F448" s="46">
        <f>IF(C448="","",IF(D448="","",IF(C448="Beginner",1,IF(C448="Intermediate",2,IF(C448="Advanced",3,4)))-IF(D448="Beginner",1,IF(D448="Intermediate",2,IF(D448="Advanced",3,4)))))</f>
        <v/>
      </c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64">
        <f>IF(N448="","",IF(M448=0,0,MIN(N448/M448,1)))</f>
        <v/>
      </c>
      <c r="Q448" s="46">
        <f>IF(P448="","",REPT("█",ROUND(P448*20,0))&amp;REPT("░",20-ROUND(P448*20,0)))</f>
        <v/>
      </c>
      <c r="R448" s="46" t="n"/>
    </row>
    <row r="449" ht="22" customHeight="1">
      <c r="A449" s="48" t="n"/>
      <c r="B449" s="48" t="n"/>
      <c r="C449" s="48" t="n"/>
      <c r="D449" s="48" t="n"/>
      <c r="E449" s="48" t="n"/>
      <c r="F449" s="48">
        <f>IF(C449="","",IF(D449="","",IF(C449="Beginner",1,IF(C449="Intermediate",2,IF(C449="Advanced",3,4)))-IF(D449="Beginner",1,IF(D449="Intermediate",2,IF(D449="Advanced",3,4)))))</f>
        <v/>
      </c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65">
        <f>IF(N449="","",IF(M449=0,0,MIN(N449/M449,1)))</f>
        <v/>
      </c>
      <c r="Q449" s="48">
        <f>IF(P449="","",REPT("█",ROUND(P449*20,0))&amp;REPT("░",20-ROUND(P449*20,0)))</f>
        <v/>
      </c>
      <c r="R449" s="48" t="n"/>
    </row>
    <row r="450" ht="22" customHeight="1">
      <c r="A450" s="46" t="n"/>
      <c r="B450" s="46" t="n"/>
      <c r="C450" s="46" t="n"/>
      <c r="D450" s="46" t="n"/>
      <c r="E450" s="46" t="n"/>
      <c r="F450" s="46">
        <f>IF(C450="","",IF(D450="","",IF(C450="Beginner",1,IF(C450="Intermediate",2,IF(C450="Advanced",3,4)))-IF(D450="Beginner",1,IF(D450="Intermediate",2,IF(D450="Advanced",3,4)))))</f>
        <v/>
      </c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64">
        <f>IF(N450="","",IF(M450=0,0,MIN(N450/M450,1)))</f>
        <v/>
      </c>
      <c r="Q450" s="46">
        <f>IF(P450="","",REPT("█",ROUND(P450*20,0))&amp;REPT("░",20-ROUND(P450*20,0)))</f>
        <v/>
      </c>
      <c r="R450" s="46" t="n"/>
    </row>
    <row r="451" ht="22" customHeight="1">
      <c r="A451" s="48" t="n"/>
      <c r="B451" s="48" t="n"/>
      <c r="C451" s="48" t="n"/>
      <c r="D451" s="48" t="n"/>
      <c r="E451" s="48" t="n"/>
      <c r="F451" s="48">
        <f>IF(C451="","",IF(D451="","",IF(C451="Beginner",1,IF(C451="Intermediate",2,IF(C451="Advanced",3,4)))-IF(D451="Beginner",1,IF(D451="Intermediate",2,IF(D451="Advanced",3,4)))))</f>
        <v/>
      </c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65">
        <f>IF(N451="","",IF(M451=0,0,MIN(N451/M451,1)))</f>
        <v/>
      </c>
      <c r="Q451" s="48">
        <f>IF(P451="","",REPT("█",ROUND(P451*20,0))&amp;REPT("░",20-ROUND(P451*20,0)))</f>
        <v/>
      </c>
      <c r="R451" s="48" t="n"/>
    </row>
    <row r="452" ht="22" customHeight="1">
      <c r="A452" s="46" t="n"/>
      <c r="B452" s="46" t="n"/>
      <c r="C452" s="46" t="n"/>
      <c r="D452" s="46" t="n"/>
      <c r="E452" s="46" t="n"/>
      <c r="F452" s="46">
        <f>IF(C452="","",IF(D452="","",IF(C452="Beginner",1,IF(C452="Intermediate",2,IF(C452="Advanced",3,4)))-IF(D452="Beginner",1,IF(D452="Intermediate",2,IF(D452="Advanced",3,4)))))</f>
        <v/>
      </c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64">
        <f>IF(N452="","",IF(M452=0,0,MIN(N452/M452,1)))</f>
        <v/>
      </c>
      <c r="Q452" s="46">
        <f>IF(P452="","",REPT("█",ROUND(P452*20,0))&amp;REPT("░",20-ROUND(P452*20,0)))</f>
        <v/>
      </c>
      <c r="R452" s="46" t="n"/>
    </row>
    <row r="453" ht="22" customHeight="1">
      <c r="A453" s="48" t="n"/>
      <c r="B453" s="48" t="n"/>
      <c r="C453" s="48" t="n"/>
      <c r="D453" s="48" t="n"/>
      <c r="E453" s="48" t="n"/>
      <c r="F453" s="48">
        <f>IF(C453="","",IF(D453="","",IF(C453="Beginner",1,IF(C453="Intermediate",2,IF(C453="Advanced",3,4)))-IF(D453="Beginner",1,IF(D453="Intermediate",2,IF(D453="Advanced",3,4)))))</f>
        <v/>
      </c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65">
        <f>IF(N453="","",IF(M453=0,0,MIN(N453/M453,1)))</f>
        <v/>
      </c>
      <c r="Q453" s="48">
        <f>IF(P453="","",REPT("█",ROUND(P453*20,0))&amp;REPT("░",20-ROUND(P453*20,0)))</f>
        <v/>
      </c>
      <c r="R453" s="48" t="n"/>
    </row>
    <row r="454" ht="22" customHeight="1">
      <c r="A454" s="46" t="n"/>
      <c r="B454" s="46" t="n"/>
      <c r="C454" s="46" t="n"/>
      <c r="D454" s="46" t="n"/>
      <c r="E454" s="46" t="n"/>
      <c r="F454" s="46">
        <f>IF(C454="","",IF(D454="","",IF(C454="Beginner",1,IF(C454="Intermediate",2,IF(C454="Advanced",3,4)))-IF(D454="Beginner",1,IF(D454="Intermediate",2,IF(D454="Advanced",3,4)))))</f>
        <v/>
      </c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64">
        <f>IF(N454="","",IF(M454=0,0,MIN(N454/M454,1)))</f>
        <v/>
      </c>
      <c r="Q454" s="46">
        <f>IF(P454="","",REPT("█",ROUND(P454*20,0))&amp;REPT("░",20-ROUND(P454*20,0)))</f>
        <v/>
      </c>
      <c r="R454" s="46" t="n"/>
    </row>
    <row r="455" ht="22" customHeight="1">
      <c r="A455" s="48" t="n"/>
      <c r="B455" s="48" t="n"/>
      <c r="C455" s="48" t="n"/>
      <c r="D455" s="48" t="n"/>
      <c r="E455" s="48" t="n"/>
      <c r="F455" s="48">
        <f>IF(C455="","",IF(D455="","",IF(C455="Beginner",1,IF(C455="Intermediate",2,IF(C455="Advanced",3,4)))-IF(D455="Beginner",1,IF(D455="Intermediate",2,IF(D455="Advanced",3,4)))))</f>
        <v/>
      </c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65">
        <f>IF(N455="","",IF(M455=0,0,MIN(N455/M455,1)))</f>
        <v/>
      </c>
      <c r="Q455" s="48">
        <f>IF(P455="","",REPT("█",ROUND(P455*20,0))&amp;REPT("░",20-ROUND(P455*20,0)))</f>
        <v/>
      </c>
      <c r="R455" s="48" t="n"/>
    </row>
    <row r="456" ht="22" customHeight="1">
      <c r="A456" s="46" t="n"/>
      <c r="B456" s="46" t="n"/>
      <c r="C456" s="46" t="n"/>
      <c r="D456" s="46" t="n"/>
      <c r="E456" s="46" t="n"/>
      <c r="F456" s="46">
        <f>IF(C456="","",IF(D456="","",IF(C456="Beginner",1,IF(C456="Intermediate",2,IF(C456="Advanced",3,4)))-IF(D456="Beginner",1,IF(D456="Intermediate",2,IF(D456="Advanced",3,4)))))</f>
        <v/>
      </c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64">
        <f>IF(N456="","",IF(M456=0,0,MIN(N456/M456,1)))</f>
        <v/>
      </c>
      <c r="Q456" s="46">
        <f>IF(P456="","",REPT("█",ROUND(P456*20,0))&amp;REPT("░",20-ROUND(P456*20,0)))</f>
        <v/>
      </c>
      <c r="R456" s="46" t="n"/>
    </row>
    <row r="457" ht="22" customHeight="1">
      <c r="A457" s="48" t="n"/>
      <c r="B457" s="48" t="n"/>
      <c r="C457" s="48" t="n"/>
      <c r="D457" s="48" t="n"/>
      <c r="E457" s="48" t="n"/>
      <c r="F457" s="48">
        <f>IF(C457="","",IF(D457="","",IF(C457="Beginner",1,IF(C457="Intermediate",2,IF(C457="Advanced",3,4)))-IF(D457="Beginner",1,IF(D457="Intermediate",2,IF(D457="Advanced",3,4)))))</f>
        <v/>
      </c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65">
        <f>IF(N457="","",IF(M457=0,0,MIN(N457/M457,1)))</f>
        <v/>
      </c>
      <c r="Q457" s="48">
        <f>IF(P457="","",REPT("█",ROUND(P457*20,0))&amp;REPT("░",20-ROUND(P457*20,0)))</f>
        <v/>
      </c>
      <c r="R457" s="48" t="n"/>
    </row>
    <row r="458" ht="22" customHeight="1">
      <c r="A458" s="46" t="n"/>
      <c r="B458" s="46" t="n"/>
      <c r="C458" s="46" t="n"/>
      <c r="D458" s="46" t="n"/>
      <c r="E458" s="46" t="n"/>
      <c r="F458" s="46">
        <f>IF(C458="","",IF(D458="","",IF(C458="Beginner",1,IF(C458="Intermediate",2,IF(C458="Advanced",3,4)))-IF(D458="Beginner",1,IF(D458="Intermediate",2,IF(D458="Advanced",3,4)))))</f>
        <v/>
      </c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64">
        <f>IF(N458="","",IF(M458=0,0,MIN(N458/M458,1)))</f>
        <v/>
      </c>
      <c r="Q458" s="46">
        <f>IF(P458="","",REPT("█",ROUND(P458*20,0))&amp;REPT("░",20-ROUND(P458*20,0)))</f>
        <v/>
      </c>
      <c r="R458" s="46" t="n"/>
    </row>
    <row r="459" ht="22" customHeight="1">
      <c r="A459" s="48" t="n"/>
      <c r="B459" s="48" t="n"/>
      <c r="C459" s="48" t="n"/>
      <c r="D459" s="48" t="n"/>
      <c r="E459" s="48" t="n"/>
      <c r="F459" s="48">
        <f>IF(C459="","",IF(D459="","",IF(C459="Beginner",1,IF(C459="Intermediate",2,IF(C459="Advanced",3,4)))-IF(D459="Beginner",1,IF(D459="Intermediate",2,IF(D459="Advanced",3,4)))))</f>
        <v/>
      </c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65">
        <f>IF(N459="","",IF(M459=0,0,MIN(N459/M459,1)))</f>
        <v/>
      </c>
      <c r="Q459" s="48">
        <f>IF(P459="","",REPT("█",ROUND(P459*20,0))&amp;REPT("░",20-ROUND(P459*20,0)))</f>
        <v/>
      </c>
      <c r="R459" s="48" t="n"/>
    </row>
    <row r="460" ht="22" customHeight="1">
      <c r="A460" s="46" t="n"/>
      <c r="B460" s="46" t="n"/>
      <c r="C460" s="46" t="n"/>
      <c r="D460" s="46" t="n"/>
      <c r="E460" s="46" t="n"/>
      <c r="F460" s="46">
        <f>IF(C460="","",IF(D460="","",IF(C460="Beginner",1,IF(C460="Intermediate",2,IF(C460="Advanced",3,4)))-IF(D460="Beginner",1,IF(D460="Intermediate",2,IF(D460="Advanced",3,4)))))</f>
        <v/>
      </c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64">
        <f>IF(N460="","",IF(M460=0,0,MIN(N460/M460,1)))</f>
        <v/>
      </c>
      <c r="Q460" s="46">
        <f>IF(P460="","",REPT("█",ROUND(P460*20,0))&amp;REPT("░",20-ROUND(P460*20,0)))</f>
        <v/>
      </c>
      <c r="R460" s="46" t="n"/>
    </row>
    <row r="461" ht="22" customHeight="1">
      <c r="A461" s="48" t="n"/>
      <c r="B461" s="48" t="n"/>
      <c r="C461" s="48" t="n"/>
      <c r="D461" s="48" t="n"/>
      <c r="E461" s="48" t="n"/>
      <c r="F461" s="48">
        <f>IF(C461="","",IF(D461="","",IF(C461="Beginner",1,IF(C461="Intermediate",2,IF(C461="Advanced",3,4)))-IF(D461="Beginner",1,IF(D461="Intermediate",2,IF(D461="Advanced",3,4)))))</f>
        <v/>
      </c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65">
        <f>IF(N461="","",IF(M461=0,0,MIN(N461/M461,1)))</f>
        <v/>
      </c>
      <c r="Q461" s="48">
        <f>IF(P461="","",REPT("█",ROUND(P461*20,0))&amp;REPT("░",20-ROUND(P461*20,0)))</f>
        <v/>
      </c>
      <c r="R461" s="48" t="n"/>
    </row>
    <row r="462" ht="22" customHeight="1">
      <c r="A462" s="46" t="n"/>
      <c r="B462" s="46" t="n"/>
      <c r="C462" s="46" t="n"/>
      <c r="D462" s="46" t="n"/>
      <c r="E462" s="46" t="n"/>
      <c r="F462" s="46">
        <f>IF(C462="","",IF(D462="","",IF(C462="Beginner",1,IF(C462="Intermediate",2,IF(C462="Advanced",3,4)))-IF(D462="Beginner",1,IF(D462="Intermediate",2,IF(D462="Advanced",3,4)))))</f>
        <v/>
      </c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64">
        <f>IF(N462="","",IF(M462=0,0,MIN(N462/M462,1)))</f>
        <v/>
      </c>
      <c r="Q462" s="46">
        <f>IF(P462="","",REPT("█",ROUND(P462*20,0))&amp;REPT("░",20-ROUND(P462*20,0)))</f>
        <v/>
      </c>
      <c r="R462" s="46" t="n"/>
    </row>
    <row r="463" ht="22" customHeight="1">
      <c r="A463" s="48" t="n"/>
      <c r="B463" s="48" t="n"/>
      <c r="C463" s="48" t="n"/>
      <c r="D463" s="48" t="n"/>
      <c r="E463" s="48" t="n"/>
      <c r="F463" s="48">
        <f>IF(C463="","",IF(D463="","",IF(C463="Beginner",1,IF(C463="Intermediate",2,IF(C463="Advanced",3,4)))-IF(D463="Beginner",1,IF(D463="Intermediate",2,IF(D463="Advanced",3,4)))))</f>
        <v/>
      </c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65">
        <f>IF(N463="","",IF(M463=0,0,MIN(N463/M463,1)))</f>
        <v/>
      </c>
      <c r="Q463" s="48">
        <f>IF(P463="","",REPT("█",ROUND(P463*20,0))&amp;REPT("░",20-ROUND(P463*20,0)))</f>
        <v/>
      </c>
      <c r="R463" s="48" t="n"/>
    </row>
    <row r="464" ht="22" customHeight="1">
      <c r="A464" s="46" t="n"/>
      <c r="B464" s="46" t="n"/>
      <c r="C464" s="46" t="n"/>
      <c r="D464" s="46" t="n"/>
      <c r="E464" s="46" t="n"/>
      <c r="F464" s="46">
        <f>IF(C464="","",IF(D464="","",IF(C464="Beginner",1,IF(C464="Intermediate",2,IF(C464="Advanced",3,4)))-IF(D464="Beginner",1,IF(D464="Intermediate",2,IF(D464="Advanced",3,4)))))</f>
        <v/>
      </c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64">
        <f>IF(N464="","",IF(M464=0,0,MIN(N464/M464,1)))</f>
        <v/>
      </c>
      <c r="Q464" s="46">
        <f>IF(P464="","",REPT("█",ROUND(P464*20,0))&amp;REPT("░",20-ROUND(P464*20,0)))</f>
        <v/>
      </c>
      <c r="R464" s="46" t="n"/>
    </row>
    <row r="465" ht="22" customHeight="1">
      <c r="A465" s="48" t="n"/>
      <c r="B465" s="48" t="n"/>
      <c r="C465" s="48" t="n"/>
      <c r="D465" s="48" t="n"/>
      <c r="E465" s="48" t="n"/>
      <c r="F465" s="48">
        <f>IF(C465="","",IF(D465="","",IF(C465="Beginner",1,IF(C465="Intermediate",2,IF(C465="Advanced",3,4)))-IF(D465="Beginner",1,IF(D465="Intermediate",2,IF(D465="Advanced",3,4)))))</f>
        <v/>
      </c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65">
        <f>IF(N465="","",IF(M465=0,0,MIN(N465/M465,1)))</f>
        <v/>
      </c>
      <c r="Q465" s="48">
        <f>IF(P465="","",REPT("█",ROUND(P465*20,0))&amp;REPT("░",20-ROUND(P465*20,0)))</f>
        <v/>
      </c>
      <c r="R465" s="48" t="n"/>
    </row>
    <row r="466" ht="22" customHeight="1">
      <c r="A466" s="46" t="n"/>
      <c r="B466" s="46" t="n"/>
      <c r="C466" s="46" t="n"/>
      <c r="D466" s="46" t="n"/>
      <c r="E466" s="46" t="n"/>
      <c r="F466" s="46">
        <f>IF(C466="","",IF(D466="","",IF(C466="Beginner",1,IF(C466="Intermediate",2,IF(C466="Advanced",3,4)))-IF(D466="Beginner",1,IF(D466="Intermediate",2,IF(D466="Advanced",3,4)))))</f>
        <v/>
      </c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64">
        <f>IF(N466="","",IF(M466=0,0,MIN(N466/M466,1)))</f>
        <v/>
      </c>
      <c r="Q466" s="46">
        <f>IF(P466="","",REPT("█",ROUND(P466*20,0))&amp;REPT("░",20-ROUND(P466*20,0)))</f>
        <v/>
      </c>
      <c r="R466" s="46" t="n"/>
    </row>
    <row r="467" ht="22" customHeight="1">
      <c r="A467" s="48" t="n"/>
      <c r="B467" s="48" t="n"/>
      <c r="C467" s="48" t="n"/>
      <c r="D467" s="48" t="n"/>
      <c r="E467" s="48" t="n"/>
      <c r="F467" s="48">
        <f>IF(C467="","",IF(D467="","",IF(C467="Beginner",1,IF(C467="Intermediate",2,IF(C467="Advanced",3,4)))-IF(D467="Beginner",1,IF(D467="Intermediate",2,IF(D467="Advanced",3,4)))))</f>
        <v/>
      </c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65">
        <f>IF(N467="","",IF(M467=0,0,MIN(N467/M467,1)))</f>
        <v/>
      </c>
      <c r="Q467" s="48">
        <f>IF(P467="","",REPT("█",ROUND(P467*20,0))&amp;REPT("░",20-ROUND(P467*20,0)))</f>
        <v/>
      </c>
      <c r="R467" s="48" t="n"/>
    </row>
    <row r="468" ht="22" customHeight="1">
      <c r="A468" s="46" t="n"/>
      <c r="B468" s="46" t="n"/>
      <c r="C468" s="46" t="n"/>
      <c r="D468" s="46" t="n"/>
      <c r="E468" s="46" t="n"/>
      <c r="F468" s="46">
        <f>IF(C468="","",IF(D468="","",IF(C468="Beginner",1,IF(C468="Intermediate",2,IF(C468="Advanced",3,4)))-IF(D468="Beginner",1,IF(D468="Intermediate",2,IF(D468="Advanced",3,4)))))</f>
        <v/>
      </c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64">
        <f>IF(N468="","",IF(M468=0,0,MIN(N468/M468,1)))</f>
        <v/>
      </c>
      <c r="Q468" s="46">
        <f>IF(P468="","",REPT("█",ROUND(P468*20,0))&amp;REPT("░",20-ROUND(P468*20,0)))</f>
        <v/>
      </c>
      <c r="R468" s="46" t="n"/>
    </row>
    <row r="469" ht="22" customHeight="1">
      <c r="A469" s="48" t="n"/>
      <c r="B469" s="48" t="n"/>
      <c r="C469" s="48" t="n"/>
      <c r="D469" s="48" t="n"/>
      <c r="E469" s="48" t="n"/>
      <c r="F469" s="48">
        <f>IF(C469="","",IF(D469="","",IF(C469="Beginner",1,IF(C469="Intermediate",2,IF(C469="Advanced",3,4)))-IF(D469="Beginner",1,IF(D469="Intermediate",2,IF(D469="Advanced",3,4)))))</f>
        <v/>
      </c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65">
        <f>IF(N469="","",IF(M469=0,0,MIN(N469/M469,1)))</f>
        <v/>
      </c>
      <c r="Q469" s="48">
        <f>IF(P469="","",REPT("█",ROUND(P469*20,0))&amp;REPT("░",20-ROUND(P469*20,0)))</f>
        <v/>
      </c>
      <c r="R469" s="48" t="n"/>
    </row>
    <row r="470" ht="22" customHeight="1">
      <c r="A470" s="46" t="n"/>
      <c r="B470" s="46" t="n"/>
      <c r="C470" s="46" t="n"/>
      <c r="D470" s="46" t="n"/>
      <c r="E470" s="46" t="n"/>
      <c r="F470" s="46">
        <f>IF(C470="","",IF(D470="","",IF(C470="Beginner",1,IF(C470="Intermediate",2,IF(C470="Advanced",3,4)))-IF(D470="Beginner",1,IF(D470="Intermediate",2,IF(D470="Advanced",3,4)))))</f>
        <v/>
      </c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64">
        <f>IF(N470="","",IF(M470=0,0,MIN(N470/M470,1)))</f>
        <v/>
      </c>
      <c r="Q470" s="46">
        <f>IF(P470="","",REPT("█",ROUND(P470*20,0))&amp;REPT("░",20-ROUND(P470*20,0)))</f>
        <v/>
      </c>
      <c r="R470" s="46" t="n"/>
    </row>
    <row r="471" ht="22" customHeight="1">
      <c r="A471" s="48" t="n"/>
      <c r="B471" s="48" t="n"/>
      <c r="C471" s="48" t="n"/>
      <c r="D471" s="48" t="n"/>
      <c r="E471" s="48" t="n"/>
      <c r="F471" s="48">
        <f>IF(C471="","",IF(D471="","",IF(C471="Beginner",1,IF(C471="Intermediate",2,IF(C471="Advanced",3,4)))-IF(D471="Beginner",1,IF(D471="Intermediate",2,IF(D471="Advanced",3,4)))))</f>
        <v/>
      </c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65">
        <f>IF(N471="","",IF(M471=0,0,MIN(N471/M471,1)))</f>
        <v/>
      </c>
      <c r="Q471" s="48">
        <f>IF(P471="","",REPT("█",ROUND(P471*20,0))&amp;REPT("░",20-ROUND(P471*20,0)))</f>
        <v/>
      </c>
      <c r="R471" s="48" t="n"/>
    </row>
    <row r="472" ht="22" customHeight="1">
      <c r="A472" s="46" t="n"/>
      <c r="B472" s="46" t="n"/>
      <c r="C472" s="46" t="n"/>
      <c r="D472" s="46" t="n"/>
      <c r="E472" s="46" t="n"/>
      <c r="F472" s="46">
        <f>IF(C472="","",IF(D472="","",IF(C472="Beginner",1,IF(C472="Intermediate",2,IF(C472="Advanced",3,4)))-IF(D472="Beginner",1,IF(D472="Intermediate",2,IF(D472="Advanced",3,4)))))</f>
        <v/>
      </c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64">
        <f>IF(N472="","",IF(M472=0,0,MIN(N472/M472,1)))</f>
        <v/>
      </c>
      <c r="Q472" s="46">
        <f>IF(P472="","",REPT("█",ROUND(P472*20,0))&amp;REPT("░",20-ROUND(P472*20,0)))</f>
        <v/>
      </c>
      <c r="R472" s="46" t="n"/>
    </row>
    <row r="473" ht="22" customHeight="1">
      <c r="A473" s="48" t="n"/>
      <c r="B473" s="48" t="n"/>
      <c r="C473" s="48" t="n"/>
      <c r="D473" s="48" t="n"/>
      <c r="E473" s="48" t="n"/>
      <c r="F473" s="48">
        <f>IF(C473="","",IF(D473="","",IF(C473="Beginner",1,IF(C473="Intermediate",2,IF(C473="Advanced",3,4)))-IF(D473="Beginner",1,IF(D473="Intermediate",2,IF(D473="Advanced",3,4)))))</f>
        <v/>
      </c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65">
        <f>IF(N473="","",IF(M473=0,0,MIN(N473/M473,1)))</f>
        <v/>
      </c>
      <c r="Q473" s="48">
        <f>IF(P473="","",REPT("█",ROUND(P473*20,0))&amp;REPT("░",20-ROUND(P473*20,0)))</f>
        <v/>
      </c>
      <c r="R473" s="48" t="n"/>
    </row>
    <row r="474" ht="22" customHeight="1">
      <c r="A474" s="46" t="n"/>
      <c r="B474" s="46" t="n"/>
      <c r="C474" s="46" t="n"/>
      <c r="D474" s="46" t="n"/>
      <c r="E474" s="46" t="n"/>
      <c r="F474" s="46">
        <f>IF(C474="","",IF(D474="","",IF(C474="Beginner",1,IF(C474="Intermediate",2,IF(C474="Advanced",3,4)))-IF(D474="Beginner",1,IF(D474="Intermediate",2,IF(D474="Advanced",3,4)))))</f>
        <v/>
      </c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64">
        <f>IF(N474="","",IF(M474=0,0,MIN(N474/M474,1)))</f>
        <v/>
      </c>
      <c r="Q474" s="46">
        <f>IF(P474="","",REPT("█",ROUND(P474*20,0))&amp;REPT("░",20-ROUND(P474*20,0)))</f>
        <v/>
      </c>
      <c r="R474" s="46" t="n"/>
    </row>
    <row r="475" ht="22" customHeight="1">
      <c r="A475" s="48" t="n"/>
      <c r="B475" s="48" t="n"/>
      <c r="C475" s="48" t="n"/>
      <c r="D475" s="48" t="n"/>
      <c r="E475" s="48" t="n"/>
      <c r="F475" s="48">
        <f>IF(C475="","",IF(D475="","",IF(C475="Beginner",1,IF(C475="Intermediate",2,IF(C475="Advanced",3,4)))-IF(D475="Beginner",1,IF(D475="Intermediate",2,IF(D475="Advanced",3,4)))))</f>
        <v/>
      </c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65">
        <f>IF(N475="","",IF(M475=0,0,MIN(N475/M475,1)))</f>
        <v/>
      </c>
      <c r="Q475" s="48">
        <f>IF(P475="","",REPT("█",ROUND(P475*20,0))&amp;REPT("░",20-ROUND(P475*20,0)))</f>
        <v/>
      </c>
      <c r="R475" s="48" t="n"/>
    </row>
    <row r="476" ht="22" customHeight="1">
      <c r="A476" s="46" t="n"/>
      <c r="B476" s="46" t="n"/>
      <c r="C476" s="46" t="n"/>
      <c r="D476" s="46" t="n"/>
      <c r="E476" s="46" t="n"/>
      <c r="F476" s="46">
        <f>IF(C476="","",IF(D476="","",IF(C476="Beginner",1,IF(C476="Intermediate",2,IF(C476="Advanced",3,4)))-IF(D476="Beginner",1,IF(D476="Intermediate",2,IF(D476="Advanced",3,4)))))</f>
        <v/>
      </c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64">
        <f>IF(N476="","",IF(M476=0,0,MIN(N476/M476,1)))</f>
        <v/>
      </c>
      <c r="Q476" s="46">
        <f>IF(P476="","",REPT("█",ROUND(P476*20,0))&amp;REPT("░",20-ROUND(P476*20,0)))</f>
        <v/>
      </c>
      <c r="R476" s="46" t="n"/>
    </row>
    <row r="477" ht="22" customHeight="1">
      <c r="A477" s="48" t="n"/>
      <c r="B477" s="48" t="n"/>
      <c r="C477" s="48" t="n"/>
      <c r="D477" s="48" t="n"/>
      <c r="E477" s="48" t="n"/>
      <c r="F477" s="48">
        <f>IF(C477="","",IF(D477="","",IF(C477="Beginner",1,IF(C477="Intermediate",2,IF(C477="Advanced",3,4)))-IF(D477="Beginner",1,IF(D477="Intermediate",2,IF(D477="Advanced",3,4)))))</f>
        <v/>
      </c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65">
        <f>IF(N477="","",IF(M477=0,0,MIN(N477/M477,1)))</f>
        <v/>
      </c>
      <c r="Q477" s="48">
        <f>IF(P477="","",REPT("█",ROUND(P477*20,0))&amp;REPT("░",20-ROUND(P477*20,0)))</f>
        <v/>
      </c>
      <c r="R477" s="48" t="n"/>
    </row>
    <row r="478" ht="22" customHeight="1">
      <c r="A478" s="46" t="n"/>
      <c r="B478" s="46" t="n"/>
      <c r="C478" s="46" t="n"/>
      <c r="D478" s="46" t="n"/>
      <c r="E478" s="46" t="n"/>
      <c r="F478" s="46">
        <f>IF(C478="","",IF(D478="","",IF(C478="Beginner",1,IF(C478="Intermediate",2,IF(C478="Advanced",3,4)))-IF(D478="Beginner",1,IF(D478="Intermediate",2,IF(D478="Advanced",3,4)))))</f>
        <v/>
      </c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64">
        <f>IF(N478="","",IF(M478=0,0,MIN(N478/M478,1)))</f>
        <v/>
      </c>
      <c r="Q478" s="46">
        <f>IF(P478="","",REPT("█",ROUND(P478*20,0))&amp;REPT("░",20-ROUND(P478*20,0)))</f>
        <v/>
      </c>
      <c r="R478" s="46" t="n"/>
    </row>
    <row r="479" ht="22" customHeight="1">
      <c r="A479" s="48" t="n"/>
      <c r="B479" s="48" t="n"/>
      <c r="C479" s="48" t="n"/>
      <c r="D479" s="48" t="n"/>
      <c r="E479" s="48" t="n"/>
      <c r="F479" s="48">
        <f>IF(C479="","",IF(D479="","",IF(C479="Beginner",1,IF(C479="Intermediate",2,IF(C479="Advanced",3,4)))-IF(D479="Beginner",1,IF(D479="Intermediate",2,IF(D479="Advanced",3,4)))))</f>
        <v/>
      </c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65">
        <f>IF(N479="","",IF(M479=0,0,MIN(N479/M479,1)))</f>
        <v/>
      </c>
      <c r="Q479" s="48">
        <f>IF(P479="","",REPT("█",ROUND(P479*20,0))&amp;REPT("░",20-ROUND(P479*20,0)))</f>
        <v/>
      </c>
      <c r="R479" s="48" t="n"/>
    </row>
    <row r="480" ht="22" customHeight="1">
      <c r="A480" s="46" t="n"/>
      <c r="B480" s="46" t="n"/>
      <c r="C480" s="46" t="n"/>
      <c r="D480" s="46" t="n"/>
      <c r="E480" s="46" t="n"/>
      <c r="F480" s="46">
        <f>IF(C480="","",IF(D480="","",IF(C480="Beginner",1,IF(C480="Intermediate",2,IF(C480="Advanced",3,4)))-IF(D480="Beginner",1,IF(D480="Intermediate",2,IF(D480="Advanced",3,4)))))</f>
        <v/>
      </c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64">
        <f>IF(N480="","",IF(M480=0,0,MIN(N480/M480,1)))</f>
        <v/>
      </c>
      <c r="Q480" s="46">
        <f>IF(P480="","",REPT("█",ROUND(P480*20,0))&amp;REPT("░",20-ROUND(P480*20,0)))</f>
        <v/>
      </c>
      <c r="R480" s="46" t="n"/>
    </row>
    <row r="481" ht="22" customHeight="1">
      <c r="A481" s="48" t="n"/>
      <c r="B481" s="48" t="n"/>
      <c r="C481" s="48" t="n"/>
      <c r="D481" s="48" t="n"/>
      <c r="E481" s="48" t="n"/>
      <c r="F481" s="48">
        <f>IF(C481="","",IF(D481="","",IF(C481="Beginner",1,IF(C481="Intermediate",2,IF(C481="Advanced",3,4)))-IF(D481="Beginner",1,IF(D481="Intermediate",2,IF(D481="Advanced",3,4)))))</f>
        <v/>
      </c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65">
        <f>IF(N481="","",IF(M481=0,0,MIN(N481/M481,1)))</f>
        <v/>
      </c>
      <c r="Q481" s="48">
        <f>IF(P481="","",REPT("█",ROUND(P481*20,0))&amp;REPT("░",20-ROUND(P481*20,0)))</f>
        <v/>
      </c>
      <c r="R481" s="48" t="n"/>
    </row>
    <row r="482" ht="22" customHeight="1">
      <c r="A482" s="46" t="n"/>
      <c r="B482" s="46" t="n"/>
      <c r="C482" s="46" t="n"/>
      <c r="D482" s="46" t="n"/>
      <c r="E482" s="46" t="n"/>
      <c r="F482" s="46">
        <f>IF(C482="","",IF(D482="","",IF(C482="Beginner",1,IF(C482="Intermediate",2,IF(C482="Advanced",3,4)))-IF(D482="Beginner",1,IF(D482="Intermediate",2,IF(D482="Advanced",3,4)))))</f>
        <v/>
      </c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64">
        <f>IF(N482="","",IF(M482=0,0,MIN(N482/M482,1)))</f>
        <v/>
      </c>
      <c r="Q482" s="46">
        <f>IF(P482="","",REPT("█",ROUND(P482*20,0))&amp;REPT("░",20-ROUND(P482*20,0)))</f>
        <v/>
      </c>
      <c r="R482" s="46" t="n"/>
    </row>
    <row r="483" ht="22" customHeight="1">
      <c r="A483" s="48" t="n"/>
      <c r="B483" s="48" t="n"/>
      <c r="C483" s="48" t="n"/>
      <c r="D483" s="48" t="n"/>
      <c r="E483" s="48" t="n"/>
      <c r="F483" s="48">
        <f>IF(C483="","",IF(D483="","",IF(C483="Beginner",1,IF(C483="Intermediate",2,IF(C483="Advanced",3,4)))-IF(D483="Beginner",1,IF(D483="Intermediate",2,IF(D483="Advanced",3,4)))))</f>
        <v/>
      </c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65">
        <f>IF(N483="","",IF(M483=0,0,MIN(N483/M483,1)))</f>
        <v/>
      </c>
      <c r="Q483" s="48">
        <f>IF(P483="","",REPT("█",ROUND(P483*20,0))&amp;REPT("░",20-ROUND(P483*20,0)))</f>
        <v/>
      </c>
      <c r="R483" s="48" t="n"/>
    </row>
    <row r="484" ht="22" customHeight="1">
      <c r="A484" s="46" t="n"/>
      <c r="B484" s="46" t="n"/>
      <c r="C484" s="46" t="n"/>
      <c r="D484" s="46" t="n"/>
      <c r="E484" s="46" t="n"/>
      <c r="F484" s="46">
        <f>IF(C484="","",IF(D484="","",IF(C484="Beginner",1,IF(C484="Intermediate",2,IF(C484="Advanced",3,4)))-IF(D484="Beginner",1,IF(D484="Intermediate",2,IF(D484="Advanced",3,4)))))</f>
        <v/>
      </c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64">
        <f>IF(N484="","",IF(M484=0,0,MIN(N484/M484,1)))</f>
        <v/>
      </c>
      <c r="Q484" s="46">
        <f>IF(P484="","",REPT("█",ROUND(P484*20,0))&amp;REPT("░",20-ROUND(P484*20,0)))</f>
        <v/>
      </c>
      <c r="R484" s="46" t="n"/>
    </row>
    <row r="485" ht="22" customHeight="1">
      <c r="A485" s="48" t="n"/>
      <c r="B485" s="48" t="n"/>
      <c r="C485" s="48" t="n"/>
      <c r="D485" s="48" t="n"/>
      <c r="E485" s="48" t="n"/>
      <c r="F485" s="48">
        <f>IF(C485="","",IF(D485="","",IF(C485="Beginner",1,IF(C485="Intermediate",2,IF(C485="Advanced",3,4)))-IF(D485="Beginner",1,IF(D485="Intermediate",2,IF(D485="Advanced",3,4)))))</f>
        <v/>
      </c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65">
        <f>IF(N485="","",IF(M485=0,0,MIN(N485/M485,1)))</f>
        <v/>
      </c>
      <c r="Q485" s="48">
        <f>IF(P485="","",REPT("█",ROUND(P485*20,0))&amp;REPT("░",20-ROUND(P485*20,0)))</f>
        <v/>
      </c>
      <c r="R485" s="48" t="n"/>
    </row>
    <row r="486" ht="22" customHeight="1">
      <c r="A486" s="46" t="n"/>
      <c r="B486" s="46" t="n"/>
      <c r="C486" s="46" t="n"/>
      <c r="D486" s="46" t="n"/>
      <c r="E486" s="46" t="n"/>
      <c r="F486" s="46">
        <f>IF(C486="","",IF(D486="","",IF(C486="Beginner",1,IF(C486="Intermediate",2,IF(C486="Advanced",3,4)))-IF(D486="Beginner",1,IF(D486="Intermediate",2,IF(D486="Advanced",3,4)))))</f>
        <v/>
      </c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64">
        <f>IF(N486="","",IF(M486=0,0,MIN(N486/M486,1)))</f>
        <v/>
      </c>
      <c r="Q486" s="46">
        <f>IF(P486="","",REPT("█",ROUND(P486*20,0))&amp;REPT("░",20-ROUND(P486*20,0)))</f>
        <v/>
      </c>
      <c r="R486" s="46" t="n"/>
    </row>
    <row r="487" ht="22" customHeight="1">
      <c r="A487" s="48" t="n"/>
      <c r="B487" s="48" t="n"/>
      <c r="C487" s="48" t="n"/>
      <c r="D487" s="48" t="n"/>
      <c r="E487" s="48" t="n"/>
      <c r="F487" s="48">
        <f>IF(C487="","",IF(D487="","",IF(C487="Beginner",1,IF(C487="Intermediate",2,IF(C487="Advanced",3,4)))-IF(D487="Beginner",1,IF(D487="Intermediate",2,IF(D487="Advanced",3,4)))))</f>
        <v/>
      </c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65">
        <f>IF(N487="","",IF(M487=0,0,MIN(N487/M487,1)))</f>
        <v/>
      </c>
      <c r="Q487" s="48">
        <f>IF(P487="","",REPT("█",ROUND(P487*20,0))&amp;REPT("░",20-ROUND(P487*20,0)))</f>
        <v/>
      </c>
      <c r="R487" s="48" t="n"/>
    </row>
    <row r="488" ht="22" customHeight="1">
      <c r="A488" s="46" t="n"/>
      <c r="B488" s="46" t="n"/>
      <c r="C488" s="46" t="n"/>
      <c r="D488" s="46" t="n"/>
      <c r="E488" s="46" t="n"/>
      <c r="F488" s="46">
        <f>IF(C488="","",IF(D488="","",IF(C488="Beginner",1,IF(C488="Intermediate",2,IF(C488="Advanced",3,4)))-IF(D488="Beginner",1,IF(D488="Intermediate",2,IF(D488="Advanced",3,4)))))</f>
        <v/>
      </c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64">
        <f>IF(N488="","",IF(M488=0,0,MIN(N488/M488,1)))</f>
        <v/>
      </c>
      <c r="Q488" s="46">
        <f>IF(P488="","",REPT("█",ROUND(P488*20,0))&amp;REPT("░",20-ROUND(P488*20,0)))</f>
        <v/>
      </c>
      <c r="R488" s="46" t="n"/>
    </row>
    <row r="489" ht="22" customHeight="1">
      <c r="A489" s="48" t="n"/>
      <c r="B489" s="48" t="n"/>
      <c r="C489" s="48" t="n"/>
      <c r="D489" s="48" t="n"/>
      <c r="E489" s="48" t="n"/>
      <c r="F489" s="48">
        <f>IF(C489="","",IF(D489="","",IF(C489="Beginner",1,IF(C489="Intermediate",2,IF(C489="Advanced",3,4)))-IF(D489="Beginner",1,IF(D489="Intermediate",2,IF(D489="Advanced",3,4)))))</f>
        <v/>
      </c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65">
        <f>IF(N489="","",IF(M489=0,0,MIN(N489/M489,1)))</f>
        <v/>
      </c>
      <c r="Q489" s="48">
        <f>IF(P489="","",REPT("█",ROUND(P489*20,0))&amp;REPT("░",20-ROUND(P489*20,0)))</f>
        <v/>
      </c>
      <c r="R489" s="48" t="n"/>
    </row>
    <row r="490" ht="22" customHeight="1">
      <c r="A490" s="46" t="n"/>
      <c r="B490" s="46" t="n"/>
      <c r="C490" s="46" t="n"/>
      <c r="D490" s="46" t="n"/>
      <c r="E490" s="46" t="n"/>
      <c r="F490" s="46">
        <f>IF(C490="","",IF(D490="","",IF(C490="Beginner",1,IF(C490="Intermediate",2,IF(C490="Advanced",3,4)))-IF(D490="Beginner",1,IF(D490="Intermediate",2,IF(D490="Advanced",3,4)))))</f>
        <v/>
      </c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64">
        <f>IF(N490="","",IF(M490=0,0,MIN(N490/M490,1)))</f>
        <v/>
      </c>
      <c r="Q490" s="46">
        <f>IF(P490="","",REPT("█",ROUND(P490*20,0))&amp;REPT("░",20-ROUND(P490*20,0)))</f>
        <v/>
      </c>
      <c r="R490" s="46" t="n"/>
    </row>
    <row r="491" ht="22" customHeight="1">
      <c r="A491" s="48" t="n"/>
      <c r="B491" s="48" t="n"/>
      <c r="C491" s="48" t="n"/>
      <c r="D491" s="48" t="n"/>
      <c r="E491" s="48" t="n"/>
      <c r="F491" s="48">
        <f>IF(C491="","",IF(D491="","",IF(C491="Beginner",1,IF(C491="Intermediate",2,IF(C491="Advanced",3,4)))-IF(D491="Beginner",1,IF(D491="Intermediate",2,IF(D491="Advanced",3,4)))))</f>
        <v/>
      </c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65">
        <f>IF(N491="","",IF(M491=0,0,MIN(N491/M491,1)))</f>
        <v/>
      </c>
      <c r="Q491" s="48">
        <f>IF(P491="","",REPT("█",ROUND(P491*20,0))&amp;REPT("░",20-ROUND(P491*20,0)))</f>
        <v/>
      </c>
      <c r="R491" s="48" t="n"/>
    </row>
    <row r="492" ht="22" customHeight="1">
      <c r="A492" s="46" t="n"/>
      <c r="B492" s="46" t="n"/>
      <c r="C492" s="46" t="n"/>
      <c r="D492" s="46" t="n"/>
      <c r="E492" s="46" t="n"/>
      <c r="F492" s="46">
        <f>IF(C492="","",IF(D492="","",IF(C492="Beginner",1,IF(C492="Intermediate",2,IF(C492="Advanced",3,4)))-IF(D492="Beginner",1,IF(D492="Intermediate",2,IF(D492="Advanced",3,4)))))</f>
        <v/>
      </c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64">
        <f>IF(N492="","",IF(M492=0,0,MIN(N492/M492,1)))</f>
        <v/>
      </c>
      <c r="Q492" s="46">
        <f>IF(P492="","",REPT("█",ROUND(P492*20,0))&amp;REPT("░",20-ROUND(P492*20,0)))</f>
        <v/>
      </c>
      <c r="R492" s="46" t="n"/>
    </row>
    <row r="493" ht="22" customHeight="1">
      <c r="A493" s="48" t="n"/>
      <c r="B493" s="48" t="n"/>
      <c r="C493" s="48" t="n"/>
      <c r="D493" s="48" t="n"/>
      <c r="E493" s="48" t="n"/>
      <c r="F493" s="48">
        <f>IF(C493="","",IF(D493="","",IF(C493="Beginner",1,IF(C493="Intermediate",2,IF(C493="Advanced",3,4)))-IF(D493="Beginner",1,IF(D493="Intermediate",2,IF(D493="Advanced",3,4)))))</f>
        <v/>
      </c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65">
        <f>IF(N493="","",IF(M493=0,0,MIN(N493/M493,1)))</f>
        <v/>
      </c>
      <c r="Q493" s="48">
        <f>IF(P493="","",REPT("█",ROUND(P493*20,0))&amp;REPT("░",20-ROUND(P493*20,0)))</f>
        <v/>
      </c>
      <c r="R493" s="48" t="n"/>
    </row>
    <row r="494" ht="22" customHeight="1">
      <c r="A494" s="46" t="n"/>
      <c r="B494" s="46" t="n"/>
      <c r="C494" s="46" t="n"/>
      <c r="D494" s="46" t="n"/>
      <c r="E494" s="46" t="n"/>
      <c r="F494" s="46">
        <f>IF(C494="","",IF(D494="","",IF(C494="Beginner",1,IF(C494="Intermediate",2,IF(C494="Advanced",3,4)))-IF(D494="Beginner",1,IF(D494="Intermediate",2,IF(D494="Advanced",3,4)))))</f>
        <v/>
      </c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64">
        <f>IF(N494="","",IF(M494=0,0,MIN(N494/M494,1)))</f>
        <v/>
      </c>
      <c r="Q494" s="46">
        <f>IF(P494="","",REPT("█",ROUND(P494*20,0))&amp;REPT("░",20-ROUND(P494*20,0)))</f>
        <v/>
      </c>
      <c r="R494" s="46" t="n"/>
    </row>
    <row r="495" ht="22" customHeight="1">
      <c r="A495" s="48" t="n"/>
      <c r="B495" s="48" t="n"/>
      <c r="C495" s="48" t="n"/>
      <c r="D495" s="48" t="n"/>
      <c r="E495" s="48" t="n"/>
      <c r="F495" s="48">
        <f>IF(C495="","",IF(D495="","",IF(C495="Beginner",1,IF(C495="Intermediate",2,IF(C495="Advanced",3,4)))-IF(D495="Beginner",1,IF(D495="Intermediate",2,IF(D495="Advanced",3,4)))))</f>
        <v/>
      </c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65">
        <f>IF(N495="","",IF(M495=0,0,MIN(N495/M495,1)))</f>
        <v/>
      </c>
      <c r="Q495" s="48">
        <f>IF(P495="","",REPT("█",ROUND(P495*20,0))&amp;REPT("░",20-ROUND(P495*20,0)))</f>
        <v/>
      </c>
      <c r="R495" s="48" t="n"/>
    </row>
    <row r="496" ht="22" customHeight="1">
      <c r="A496" s="46" t="n"/>
      <c r="B496" s="46" t="n"/>
      <c r="C496" s="46" t="n"/>
      <c r="D496" s="46" t="n"/>
      <c r="E496" s="46" t="n"/>
      <c r="F496" s="46">
        <f>IF(C496="","",IF(D496="","",IF(C496="Beginner",1,IF(C496="Intermediate",2,IF(C496="Advanced",3,4)))-IF(D496="Beginner",1,IF(D496="Intermediate",2,IF(D496="Advanced",3,4)))))</f>
        <v/>
      </c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64">
        <f>IF(N496="","",IF(M496=0,0,MIN(N496/M496,1)))</f>
        <v/>
      </c>
      <c r="Q496" s="46">
        <f>IF(P496="","",REPT("█",ROUND(P496*20,0))&amp;REPT("░",20-ROUND(P496*20,0)))</f>
        <v/>
      </c>
      <c r="R496" s="46" t="n"/>
    </row>
    <row r="497" ht="22" customHeight="1">
      <c r="A497" s="48" t="n"/>
      <c r="B497" s="48" t="n"/>
      <c r="C497" s="48" t="n"/>
      <c r="D497" s="48" t="n"/>
      <c r="E497" s="48" t="n"/>
      <c r="F497" s="48">
        <f>IF(C497="","",IF(D497="","",IF(C497="Beginner",1,IF(C497="Intermediate",2,IF(C497="Advanced",3,4)))-IF(D497="Beginner",1,IF(D497="Intermediate",2,IF(D497="Advanced",3,4)))))</f>
        <v/>
      </c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65">
        <f>IF(N497="","",IF(M497=0,0,MIN(N497/M497,1)))</f>
        <v/>
      </c>
      <c r="Q497" s="48">
        <f>IF(P497="","",REPT("█",ROUND(P497*20,0))&amp;REPT("░",20-ROUND(P497*20,0)))</f>
        <v/>
      </c>
      <c r="R497" s="48" t="n"/>
    </row>
    <row r="498" ht="22" customHeight="1">
      <c r="A498" s="46" t="n"/>
      <c r="B498" s="46" t="n"/>
      <c r="C498" s="46" t="n"/>
      <c r="D498" s="46" t="n"/>
      <c r="E498" s="46" t="n"/>
      <c r="F498" s="46">
        <f>IF(C498="","",IF(D498="","",IF(C498="Beginner",1,IF(C498="Intermediate",2,IF(C498="Advanced",3,4)))-IF(D498="Beginner",1,IF(D498="Intermediate",2,IF(D498="Advanced",3,4)))))</f>
        <v/>
      </c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64">
        <f>IF(N498="","",IF(M498=0,0,MIN(N498/M498,1)))</f>
        <v/>
      </c>
      <c r="Q498" s="46">
        <f>IF(P498="","",REPT("█",ROUND(P498*20,0))&amp;REPT("░",20-ROUND(P498*20,0)))</f>
        <v/>
      </c>
      <c r="R498" s="46" t="n"/>
    </row>
    <row r="499" ht="22" customHeight="1">
      <c r="A499" s="48" t="n"/>
      <c r="B499" s="48" t="n"/>
      <c r="C499" s="48" t="n"/>
      <c r="D499" s="48" t="n"/>
      <c r="E499" s="48" t="n"/>
      <c r="F499" s="48">
        <f>IF(C499="","",IF(D499="","",IF(C499="Beginner",1,IF(C499="Intermediate",2,IF(C499="Advanced",3,4)))-IF(D499="Beginner",1,IF(D499="Intermediate",2,IF(D499="Advanced",3,4)))))</f>
        <v/>
      </c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65">
        <f>IF(N499="","",IF(M499=0,0,MIN(N499/M499,1)))</f>
        <v/>
      </c>
      <c r="Q499" s="48">
        <f>IF(P499="","",REPT("█",ROUND(P499*20,0))&amp;REPT("░",20-ROUND(P499*20,0)))</f>
        <v/>
      </c>
      <c r="R499" s="48" t="n"/>
    </row>
    <row r="500" ht="22" customHeight="1">
      <c r="A500" s="46" t="n"/>
      <c r="B500" s="46" t="n"/>
      <c r="C500" s="46" t="n"/>
      <c r="D500" s="46" t="n"/>
      <c r="E500" s="46" t="n"/>
      <c r="F500" s="46">
        <f>IF(C500="","",IF(D500="","",IF(C500="Beginner",1,IF(C500="Intermediate",2,IF(C500="Advanced",3,4)))-IF(D500="Beginner",1,IF(D500="Intermediate",2,IF(D500="Advanced",3,4)))))</f>
        <v/>
      </c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64">
        <f>IF(N500="","",IF(M500=0,0,MIN(N500/M500,1)))</f>
        <v/>
      </c>
      <c r="Q500" s="46">
        <f>IF(P500="","",REPT("█",ROUND(P500*20,0))&amp;REPT("░",20-ROUND(P500*20,0)))</f>
        <v/>
      </c>
      <c r="R500" s="46" t="n"/>
    </row>
  </sheetData>
  <autoFilter ref="A1:R500"/>
  <conditionalFormatting sqref="P2:P500">
    <cfRule type="dataBar" priority="1">
      <dataBar>
        <cfvo type="num" val="0"/>
        <cfvo type="num" val="1"/>
        <color rgb="0022C55E"/>
      </dataBar>
    </cfRule>
  </conditionalFormatting>
  <dataValidations count="5">
    <dataValidation sqref="C2:C500" showDropDown="0" showInputMessage="0" showErrorMessage="0" allowBlank="1" errorTitle="Invalid Entry" error="Please select a value from the dropdown" promptTitle="Choose" prompt="Select from dropdown" type="list">
      <formula1>"Beginner,Intermediate,Advanced,Expert"</formula1>
    </dataValidation>
    <dataValidation sqref="D2:D500" showDropDown="0" showInputMessage="0" showErrorMessage="0" allowBlank="1" errorTitle="Invalid Entry" error="Please select a value from the dropdown" promptTitle="Choose" prompt="Select from dropdown" type="list">
      <formula1>"Beginner,Intermediate,Advanced,Expert"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I2:I500" showDropDown="0" showInputMessage="0" showErrorMessage="0" allowBlank="1" errorTitle="Invalid Entry" error="Please select a value from the dropdown" promptTitle="Choose" prompt="Select from dropdown" type="list">
      <formula1>"Not Started,In Progress,Completed,On Hold"</formula1>
    </dataValidation>
    <dataValidation sqref="J2:J500" showDropDown="0" showInputMessage="0" showErrorMessage="0" allowBlank="1" errorTitle="Invalid Entry" error="Please select a value from the dropdown" promptTitle="Choose" prompt="Select from dropdown" type="list">
      <formula1>"Easy,Medium,Hard"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5CF6"/>
    <outlinePr summaryBelow="1" summaryRight="1"/>
    <pageSetUpPr/>
  </sheetPr>
  <dimension ref="A1:L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45" t="inlineStr">
        <is>
          <t>Company</t>
        </is>
      </c>
      <c r="B1" s="45" t="inlineStr">
        <is>
          <t>Role</t>
        </is>
      </c>
      <c r="C1" s="45" t="inlineStr">
        <is>
          <t>Version</t>
        </is>
      </c>
      <c r="D1" s="45" t="inlineStr">
        <is>
          <t>Date Created</t>
        </is>
      </c>
      <c r="E1" s="45" t="inlineStr">
        <is>
          <t>Date Sent</t>
        </is>
      </c>
      <c r="F1" s="45" t="inlineStr">
        <is>
          <t>Template Used</t>
        </is>
      </c>
      <c r="G1" s="45" t="inlineStr">
        <is>
          <t>Customization Level</t>
        </is>
      </c>
      <c r="H1" s="45" t="inlineStr">
        <is>
          <t>Response Received</t>
        </is>
      </c>
      <c r="I1" s="45" t="inlineStr">
        <is>
          <t>Interview Scheduled</t>
        </is>
      </c>
      <c r="J1" s="45" t="inlineStr">
        <is>
          <t>Success Rate</t>
        </is>
      </c>
      <c r="K1" s="45" t="inlineStr">
        <is>
          <t>A/B Test Group</t>
        </is>
      </c>
      <c r="L1" s="45" t="inlineStr">
        <is>
          <t>Notes</t>
        </is>
      </c>
    </row>
    <row r="2" ht="22" customHeight="1">
      <c r="A2" s="46" t="inlineStr">
        <is>
          <t>Tech Corp</t>
        </is>
      </c>
      <c r="B2" s="46" t="inlineStr">
        <is>
          <t>Senior Frontend Developer</t>
        </is>
      </c>
      <c r="C2" s="46" t="inlineStr">
        <is>
          <t>v1.0</t>
        </is>
      </c>
      <c r="D2" s="46" t="inlineStr">
        <is>
          <t>2026-06-29</t>
        </is>
      </c>
      <c r="E2" s="46" t="inlineStr"/>
      <c r="F2" s="46" t="inlineStr">
        <is>
          <t>Template A</t>
        </is>
      </c>
      <c r="G2" s="46" t="inlineStr">
        <is>
          <t>Heavy Customization</t>
        </is>
      </c>
      <c r="H2" s="46" t="inlineStr">
        <is>
          <t>No</t>
        </is>
      </c>
      <c r="I2" s="46" t="inlineStr">
        <is>
          <t>No</t>
        </is>
      </c>
      <c r="J2" s="46" t="inlineStr">
        <is>
          <t>0%</t>
        </is>
      </c>
      <c r="K2" s="46" t="inlineStr">
        <is>
          <t>A</t>
        </is>
      </c>
      <c r="L2" s="46" t="inlineStr"/>
    </row>
  </sheetData>
  <autoFilter ref="A1:L500"/>
  <dataValidations count="3">
    <dataValidation sqref="H2:H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I2:I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G2:G500" showDropDown="0" showInputMessage="0" showErrorMessage="0" allowBlank="1" errorTitle="Invalid Entry" error="Please select a value from the dropdown" promptTitle="Choose" prompt="Select from dropdown" type="list">
      <formula1>"None,Light,Medium,Heavy"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BBA"/>
    <outlinePr summaryBelow="1" summaryRight="1"/>
    <pageSetUpPr/>
  </sheetPr>
  <dimension ref="A1:K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8" customHeight="1">
      <c r="A1" s="45" t="inlineStr">
        <is>
          <t>Date</t>
        </is>
      </c>
      <c r="B1" s="45" t="inlineStr">
        <is>
          <t>Event Type</t>
        </is>
      </c>
      <c r="C1" s="45" t="inlineStr">
        <is>
          <t>Company</t>
        </is>
      </c>
      <c r="D1" s="45" t="inlineStr">
        <is>
          <t>Role</t>
        </is>
      </c>
      <c r="E1" s="45" t="inlineStr">
        <is>
          <t>Time</t>
        </is>
      </c>
      <c r="F1" s="45" t="inlineStr">
        <is>
          <t>Location/Link</t>
        </is>
      </c>
      <c r="G1" s="45" t="inlineStr">
        <is>
          <t>Preparation Needed</t>
        </is>
      </c>
      <c r="H1" s="45" t="inlineStr">
        <is>
          <t>Status</t>
        </is>
      </c>
      <c r="I1" s="45" t="inlineStr">
        <is>
          <t>Priority</t>
        </is>
      </c>
      <c r="J1" s="45" t="inlineStr">
        <is>
          <t>Follow-up Required</t>
        </is>
      </c>
      <c r="K1" s="45" t="inlineStr">
        <is>
          <t>Notes</t>
        </is>
      </c>
    </row>
    <row r="2" ht="22" customHeight="1">
      <c r="A2" s="46" t="inlineStr">
        <is>
          <t>2026-06-29</t>
        </is>
      </c>
      <c r="B2" s="46" t="inlineStr">
        <is>
          <t>Technical Assessment</t>
        </is>
      </c>
      <c r="C2" s="46" t="inlineStr">
        <is>
          <t>Tech Corp</t>
        </is>
      </c>
      <c r="D2" s="46" t="inlineStr">
        <is>
          <t>Senior Frontend Developer</t>
        </is>
      </c>
      <c r="E2" s="46" t="inlineStr">
        <is>
          <t>2:00 PM</t>
        </is>
      </c>
      <c r="F2" s="46" t="inlineStr">
        <is>
          <t>Online (Zoom)</t>
        </is>
      </c>
      <c r="G2" s="46" t="inlineStr">
        <is>
          <t>Practice coding problems</t>
        </is>
      </c>
      <c r="H2" s="46" t="inlineStr">
        <is>
          <t>Scheduled</t>
        </is>
      </c>
      <c r="I2" s="46" t="inlineStr">
        <is>
          <t>High</t>
        </is>
      </c>
      <c r="J2" s="46" t="inlineStr">
        <is>
          <t>Yes</t>
        </is>
      </c>
      <c r="K2" s="46" t="inlineStr"/>
    </row>
  </sheetData>
  <autoFilter ref="A1:K500"/>
  <dataValidations count="4">
    <dataValidation sqref="B2:B500" showDropDown="0" showInputMessage="0" showErrorMessage="0" allowBlank="1" errorTitle="Invalid Entry" error="Please select a value from the dropdown" promptTitle="Choose" prompt="Select from dropdown" type="list">
      <formula1>"Interview,Assessment,Deadline,Follow-up,Networking,Other"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"Scheduled,Completed,Cancelled,Rescheduled"</formula1>
    </dataValidation>
    <dataValidation sqref="I2:I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J2:J500" showDropDown="0" showInputMessage="0" showErrorMessage="0" allowBlank="1" errorTitle="Invalid Entry" error="Please select a value from the dropdown" promptTitle="Choose" prompt="Select from dropdown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2C55E"/>
    <outlinePr summaryBelow="1" summaryRight="1"/>
    <pageSetUpPr/>
  </sheetPr>
  <dimension ref="A1:N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45" t="inlineStr">
        <is>
          <t>Resource Name</t>
        </is>
      </c>
      <c r="B1" s="45" t="inlineStr">
        <is>
          <t>Type</t>
        </is>
      </c>
      <c r="C1" s="45" t="inlineStr">
        <is>
          <t>Provider</t>
        </is>
      </c>
      <c r="D1" s="45" t="inlineStr">
        <is>
          <t>Topic</t>
        </is>
      </c>
      <c r="E1" s="45" t="inlineStr">
        <is>
          <t>URL</t>
        </is>
      </c>
      <c r="F1" s="45" t="inlineStr">
        <is>
          <t>Cost</t>
        </is>
      </c>
      <c r="G1" s="45" t="inlineStr">
        <is>
          <t>Duration</t>
        </is>
      </c>
      <c r="H1" s="45" t="inlineStr">
        <is>
          <t>Start Date</t>
        </is>
      </c>
      <c r="I1" s="45" t="inlineStr">
        <is>
          <t>Completion Date</t>
        </is>
      </c>
      <c r="J1" s="45" t="inlineStr">
        <is>
          <t>Progress %</t>
        </is>
      </c>
      <c r="K1" s="45" t="inlineStr">
        <is>
          <t>Certificate</t>
        </is>
      </c>
      <c r="L1" s="45" t="inlineStr">
        <is>
          <t>Priority</t>
        </is>
      </c>
      <c r="M1" s="45" t="inlineStr">
        <is>
          <t>Rating</t>
        </is>
      </c>
      <c r="N1" s="45" t="inlineStr">
        <is>
          <t>Notes</t>
        </is>
      </c>
    </row>
    <row r="2" ht="22" customHeight="1">
      <c r="A2" s="46" t="inlineStr">
        <is>
          <t>React - The Complete Guide</t>
        </is>
      </c>
      <c r="B2" s="46" t="inlineStr">
        <is>
          <t>Course</t>
        </is>
      </c>
      <c r="C2" s="46" t="inlineStr">
        <is>
          <t>Udemy</t>
        </is>
      </c>
      <c r="D2" s="46" t="inlineStr">
        <is>
          <t>React</t>
        </is>
      </c>
      <c r="E2" s="46" t="inlineStr">
        <is>
          <t>udemy.com/course/react</t>
        </is>
      </c>
      <c r="F2" s="46" t="inlineStr">
        <is>
          <t>$15</t>
        </is>
      </c>
      <c r="G2" s="46" t="inlineStr">
        <is>
          <t>40 hours</t>
        </is>
      </c>
      <c r="H2" s="46" t="inlineStr"/>
      <c r="I2" s="46" t="inlineStr"/>
      <c r="J2" s="46" t="inlineStr">
        <is>
          <t>0%</t>
        </is>
      </c>
      <c r="K2" s="46" t="inlineStr">
        <is>
          <t>Yes</t>
        </is>
      </c>
      <c r="L2" s="46" t="inlineStr">
        <is>
          <t>High</t>
        </is>
      </c>
      <c r="M2" s="46" t="inlineStr"/>
      <c r="N2" s="46" t="inlineStr"/>
    </row>
  </sheetData>
  <autoFilter ref="A1:N500"/>
  <dataValidations count="3">
    <dataValidation sqref="B2:B500" showDropDown="0" showInputMessage="0" showErrorMessage="0" allowBlank="1" errorTitle="Invalid Entry" error="Please select a value from the dropdown" promptTitle="Choose" prompt="Select from dropdown" type="list">
      <formula1>"Course,Book,Video,Documentation,Tutorial,Bootcamp,Certification"</formula1>
    </dataValidation>
    <dataValidation sqref="L2:L500" showDropDown="0" showInputMessage="0" showErrorMessage="0" allowBlank="1" errorTitle="Invalid Entry" error="Please select a value from the dropdown" promptTitle="Choose" prompt="Select from dropdown" type="list">
      <formula1>"Low,Medium,High,Critical"</formula1>
    </dataValidation>
    <dataValidation sqref="M2:M500" showDropDown="0" showInputMessage="0" showErrorMessage="0" allowBlank="1" errorTitle="Invalid Entry" error="Please select a value from the dropdown" promptTitle="Choose" prompt="Select from dropdown" type="list">
      <formula1>"1,2,3,4,5"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F4444"/>
    <outlinePr summaryBelow="1" summaryRight="1"/>
    <pageSetUpPr/>
  </sheetPr>
  <dimension ref="A1:T50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8" customWidth="1" min="19" max="19"/>
    <col width="14" customWidth="1" min="20" max="20"/>
  </cols>
  <sheetData>
    <row r="1" ht="28" customHeight="1">
      <c r="A1" s="45" t="inlineStr">
        <is>
          <t>Company</t>
        </is>
      </c>
      <c r="B1" s="45" t="inlineStr">
        <is>
          <t>Base Salary</t>
        </is>
      </c>
      <c r="C1" s="45" t="inlineStr">
        <is>
          <t>Bonus</t>
        </is>
      </c>
      <c r="D1" s="45" t="inlineStr">
        <is>
          <t>Equity</t>
        </is>
      </c>
      <c r="E1" s="45" t="inlineStr">
        <is>
          <t>Benefits Value</t>
        </is>
      </c>
      <c r="F1" s="45" t="inlineStr">
        <is>
          <t>Remote Flexibility</t>
        </is>
      </c>
      <c r="G1" s="45" t="inlineStr">
        <is>
          <t>Visa Sponsorship</t>
        </is>
      </c>
      <c r="H1" s="45" t="inlineStr">
        <is>
          <t>Career Growth</t>
        </is>
      </c>
      <c r="I1" s="45" t="inlineStr">
        <is>
          <t>Manager Quality</t>
        </is>
      </c>
      <c r="J1" s="45" t="inlineStr">
        <is>
          <t>Engineering Culture</t>
        </is>
      </c>
      <c r="K1" s="45" t="inlineStr">
        <is>
          <t>Tech Stack</t>
        </is>
      </c>
      <c r="L1" s="45" t="inlineStr">
        <is>
          <t>Learning Potential</t>
        </is>
      </c>
      <c r="M1" s="45" t="inlineStr">
        <is>
          <t>Work-Life Balance</t>
        </is>
      </c>
      <c r="N1" s="45" t="inlineStr">
        <is>
          <t>Location</t>
        </is>
      </c>
      <c r="O1" s="45" t="inlineStr">
        <is>
          <t>Promotion Opportunities</t>
        </is>
      </c>
      <c r="P1" s="45" t="inlineStr">
        <is>
          <t>Company Stability</t>
        </is>
      </c>
      <c r="Q1" s="45" t="inlineStr">
        <is>
          <t>PTO Days</t>
        </is>
      </c>
      <c r="R1" s="45" t="inlineStr">
        <is>
          <t>Weighted Score</t>
        </is>
      </c>
      <c r="S1" s="45" t="inlineStr">
        <is>
          <t>Rank</t>
        </is>
      </c>
      <c r="T1" s="9" t="inlineStr">
        <is>
          <t>Decision</t>
        </is>
      </c>
    </row>
    <row r="2" ht="22" customHeight="1">
      <c r="A2" s="46" t="inlineStr">
        <is>
          <t>Tech Corp</t>
        </is>
      </c>
      <c r="B2" s="50" t="n">
        <v>150000</v>
      </c>
      <c r="C2" s="50" t="n">
        <v>20000</v>
      </c>
      <c r="D2" s="50" t="n">
        <v>50000</v>
      </c>
      <c r="E2" s="50" t="n">
        <v>15000</v>
      </c>
      <c r="F2" s="46" t="inlineStr">
        <is>
          <t>Yes</t>
        </is>
      </c>
      <c r="G2" s="46" t="n">
        <v>20</v>
      </c>
      <c r="H2" s="46" t="inlineStr">
        <is>
          <t>9</t>
        </is>
      </c>
      <c r="I2" s="46" t="inlineStr">
        <is>
          <t>8</t>
        </is>
      </c>
      <c r="J2" s="46" t="inlineStr">
        <is>
          <t>9</t>
        </is>
      </c>
      <c r="K2" s="46" t="inlineStr">
        <is>
          <t>9</t>
        </is>
      </c>
      <c r="L2" s="46" t="inlineStr">
        <is>
          <t>9</t>
        </is>
      </c>
      <c r="M2" s="46" t="inlineStr">
        <is>
          <t>8</t>
        </is>
      </c>
      <c r="N2" s="46" t="inlineStr">
        <is>
          <t>San Francisco</t>
        </is>
      </c>
      <c r="O2" s="46" t="inlineStr">
        <is>
          <t>30 min</t>
        </is>
      </c>
      <c r="P2" s="46" t="inlineStr">
        <is>
          <t>Yes</t>
        </is>
      </c>
      <c r="Q2" s="46" t="inlineStr">
        <is>
          <t>8</t>
        </is>
      </c>
      <c r="R2" s="46">
        <f>IF(A2="","",ROUND(B2/10000*0.25+C2/10000*0.05+D2/10000*0.05+E2/10000*0.05+IF(F2="Yes",10,IF(F2="No",0,5))*0.10+IF(G2="Yes",10,IF(G2="No",0,5))*0.05+H2*0.10+I2*0.10+J2*0.05+K2*0.05+L2*0.05+M2*0.05+N2*0.03+O2*0.02+P2*0.05,1))</f>
        <v/>
      </c>
      <c r="S2" s="46">
        <f>IF(A2="","",RANK(R2,$R$2:$R$500,0))</f>
        <v/>
      </c>
      <c r="T2" s="10" t="inlineStr">
        <is>
          <t>Pending</t>
        </is>
      </c>
    </row>
    <row r="3" ht="22" customHeight="1">
      <c r="A3" s="48" t="n"/>
      <c r="B3" s="51" t="n"/>
      <c r="C3" s="51" t="n"/>
      <c r="D3" s="51" t="n"/>
      <c r="E3" s="51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>
        <f>IF(A3="","",ROUND(B3/10000*0.25+C3/10000*0.05+D3/10000*0.05+E3/10000*0.05+IF(F3="Yes",10,IF(F3="No",0,5))*0.10+IF(G3="Yes",10,IF(G3="No",0,5))*0.05+H3*0.10+I3*0.10+J3*0.05+K3*0.05+L3*0.05+M3*0.05+N3*0.03+O3*0.02+P3*0.05,1))</f>
        <v/>
      </c>
      <c r="S3" s="48">
        <f>IF(A3="","",RANK(R3,$R$2:$R$500,0))</f>
        <v/>
      </c>
    </row>
    <row r="4" ht="22" customHeight="1">
      <c r="A4" s="46" t="n"/>
      <c r="B4" s="50" t="n"/>
      <c r="C4" s="50" t="n"/>
      <c r="D4" s="50" t="n"/>
      <c r="E4" s="50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>
        <f>IF(A4="","",ROUND(B4/10000*0.25+C4/10000*0.05+D4/10000*0.05+E4/10000*0.05+IF(F4="Yes",10,IF(F4="No",0,5))*0.10+IF(G4="Yes",10,IF(G4="No",0,5))*0.05+H4*0.10+I4*0.10+J4*0.05+K4*0.05+L4*0.05+M4*0.05+N4*0.03+O4*0.02+P4*0.05,1))</f>
        <v/>
      </c>
      <c r="S4" s="46">
        <f>IF(A4="","",RANK(R4,$R$2:$R$500,0))</f>
        <v/>
      </c>
    </row>
    <row r="5" ht="22" customHeight="1">
      <c r="A5" s="48" t="n"/>
      <c r="B5" s="51" t="n"/>
      <c r="C5" s="51" t="n"/>
      <c r="D5" s="51" t="n"/>
      <c r="E5" s="51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>
        <f>IF(A5="","",ROUND(B5/10000*0.25+C5/10000*0.05+D5/10000*0.05+E5/10000*0.05+IF(F5="Yes",10,IF(F5="No",0,5))*0.10+IF(G5="Yes",10,IF(G5="No",0,5))*0.05+H5*0.10+I5*0.10+J5*0.05+K5*0.05+L5*0.05+M5*0.05+N5*0.03+O5*0.02+P5*0.05,1))</f>
        <v/>
      </c>
      <c r="S5" s="48">
        <f>IF(A5="","",RANK(R5,$R$2:$R$500,0))</f>
        <v/>
      </c>
    </row>
    <row r="6" ht="22" customHeight="1">
      <c r="A6" s="46" t="n"/>
      <c r="B6" s="50" t="n"/>
      <c r="C6" s="50" t="n"/>
      <c r="D6" s="50" t="n"/>
      <c r="E6" s="50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>
        <f>IF(A6="","",ROUND(B6/10000*0.25+C6/10000*0.05+D6/10000*0.05+E6/10000*0.05+IF(F6="Yes",10,IF(F6="No",0,5))*0.10+IF(G6="Yes",10,IF(G6="No",0,5))*0.05+H6*0.10+I6*0.10+J6*0.05+K6*0.05+L6*0.05+M6*0.05+N6*0.03+O6*0.02+P6*0.05,1))</f>
        <v/>
      </c>
      <c r="S6" s="46">
        <f>IF(A6="","",RANK(R6,$R$2:$R$500,0))</f>
        <v/>
      </c>
    </row>
    <row r="7" ht="22" customHeight="1">
      <c r="A7" s="48" t="n"/>
      <c r="B7" s="51" t="n"/>
      <c r="C7" s="51" t="n"/>
      <c r="D7" s="51" t="n"/>
      <c r="E7" s="51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>
        <f>IF(A7="","",ROUND(B7/10000*0.25+C7/10000*0.05+D7/10000*0.05+E7/10000*0.05+IF(F7="Yes",10,IF(F7="No",0,5))*0.10+IF(G7="Yes",10,IF(G7="No",0,5))*0.05+H7*0.10+I7*0.10+J7*0.05+K7*0.05+L7*0.05+M7*0.05+N7*0.03+O7*0.02+P7*0.05,1))</f>
        <v/>
      </c>
      <c r="S7" s="48">
        <f>IF(A7="","",RANK(R7,$R$2:$R$500,0))</f>
        <v/>
      </c>
    </row>
    <row r="8" ht="22" customHeight="1">
      <c r="A8" s="46" t="n"/>
      <c r="B8" s="50" t="n"/>
      <c r="C8" s="50" t="n"/>
      <c r="D8" s="50" t="n"/>
      <c r="E8" s="50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>
        <f>IF(A8="","",ROUND(B8/10000*0.25+C8/10000*0.05+D8/10000*0.05+E8/10000*0.05+IF(F8="Yes",10,IF(F8="No",0,5))*0.10+IF(G8="Yes",10,IF(G8="No",0,5))*0.05+H8*0.10+I8*0.10+J8*0.05+K8*0.05+L8*0.05+M8*0.05+N8*0.03+O8*0.02+P8*0.05,1))</f>
        <v/>
      </c>
      <c r="S8" s="46">
        <f>IF(A8="","",RANK(R8,$R$2:$R$500,0))</f>
        <v/>
      </c>
    </row>
    <row r="9" ht="22" customHeight="1">
      <c r="A9" s="48" t="n"/>
      <c r="B9" s="51" t="n"/>
      <c r="C9" s="51" t="n"/>
      <c r="D9" s="51" t="n"/>
      <c r="E9" s="51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>
        <f>IF(A9="","",ROUND(B9/10000*0.25+C9/10000*0.05+D9/10000*0.05+E9/10000*0.05+IF(F9="Yes",10,IF(F9="No",0,5))*0.10+IF(G9="Yes",10,IF(G9="No",0,5))*0.05+H9*0.10+I9*0.10+J9*0.05+K9*0.05+L9*0.05+M9*0.05+N9*0.03+O9*0.02+P9*0.05,1))</f>
        <v/>
      </c>
      <c r="S9" s="48">
        <f>IF(A9="","",RANK(R9,$R$2:$R$500,0))</f>
        <v/>
      </c>
    </row>
    <row r="10" ht="22" customHeight="1">
      <c r="A10" s="46" t="n"/>
      <c r="B10" s="50" t="n"/>
      <c r="C10" s="50" t="n"/>
      <c r="D10" s="50" t="n"/>
      <c r="E10" s="50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>
        <f>IF(A10="","",ROUND(B10/10000*0.25+C10/10000*0.05+D10/10000*0.05+E10/10000*0.05+IF(F10="Yes",10,IF(F10="No",0,5))*0.10+IF(G10="Yes",10,IF(G10="No",0,5))*0.05+H10*0.10+I10*0.10+J10*0.05+K10*0.05+L10*0.05+M10*0.05+N10*0.03+O10*0.02+P10*0.05,1))</f>
        <v/>
      </c>
      <c r="S10" s="46">
        <f>IF(A10="","",RANK(R10,$R$2:$R$500,0))</f>
        <v/>
      </c>
    </row>
    <row r="11" ht="22" customHeight="1">
      <c r="A11" s="48" t="n"/>
      <c r="B11" s="51" t="n"/>
      <c r="C11" s="51" t="n"/>
      <c r="D11" s="51" t="n"/>
      <c r="E11" s="51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>
        <f>IF(A11="","",ROUND(B11/10000*0.25+C11/10000*0.05+D11/10000*0.05+E11/10000*0.05+IF(F11="Yes",10,IF(F11="No",0,5))*0.10+IF(G11="Yes",10,IF(G11="No",0,5))*0.05+H11*0.10+I11*0.10+J11*0.05+K11*0.05+L11*0.05+M11*0.05+N11*0.03+O11*0.02+P11*0.05,1))</f>
        <v/>
      </c>
      <c r="S11" s="48">
        <f>IF(A11="","",RANK(R11,$R$2:$R$500,0))</f>
        <v/>
      </c>
    </row>
    <row r="12" ht="22" customHeight="1">
      <c r="A12" s="46" t="n"/>
      <c r="B12" s="50" t="n"/>
      <c r="C12" s="50" t="n"/>
      <c r="D12" s="50" t="n"/>
      <c r="E12" s="50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>
        <f>IF(A12="","",ROUND(B12/10000*0.25+C12/10000*0.05+D12/10000*0.05+E12/10000*0.05+IF(F12="Yes",10,IF(F12="No",0,5))*0.10+IF(G12="Yes",10,IF(G12="No",0,5))*0.05+H12*0.10+I12*0.10+J12*0.05+K12*0.05+L12*0.05+M12*0.05+N12*0.03+O12*0.02+P12*0.05,1))</f>
        <v/>
      </c>
      <c r="S12" s="46">
        <f>IF(A12="","",RANK(R12,$R$2:$R$500,0))</f>
        <v/>
      </c>
    </row>
    <row r="13" ht="22" customHeight="1">
      <c r="A13" s="48" t="n"/>
      <c r="B13" s="51" t="n"/>
      <c r="C13" s="51" t="n"/>
      <c r="D13" s="51" t="n"/>
      <c r="E13" s="51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>
        <f>IF(A13="","",ROUND(B13/10000*0.25+C13/10000*0.05+D13/10000*0.05+E13/10000*0.05+IF(F13="Yes",10,IF(F13="No",0,5))*0.10+IF(G13="Yes",10,IF(G13="No",0,5))*0.05+H13*0.10+I13*0.10+J13*0.05+K13*0.05+L13*0.05+M13*0.05+N13*0.03+O13*0.02+P13*0.05,1))</f>
        <v/>
      </c>
      <c r="S13" s="48">
        <f>IF(A13="","",RANK(R13,$R$2:$R$500,0))</f>
        <v/>
      </c>
    </row>
    <row r="14" ht="22" customHeight="1">
      <c r="A14" s="46" t="n"/>
      <c r="B14" s="50" t="n"/>
      <c r="C14" s="50" t="n"/>
      <c r="D14" s="50" t="n"/>
      <c r="E14" s="50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>
        <f>IF(A14="","",ROUND(B14/10000*0.25+C14/10000*0.05+D14/10000*0.05+E14/10000*0.05+IF(F14="Yes",10,IF(F14="No",0,5))*0.10+IF(G14="Yes",10,IF(G14="No",0,5))*0.05+H14*0.10+I14*0.10+J14*0.05+K14*0.05+L14*0.05+M14*0.05+N14*0.03+O14*0.02+P14*0.05,1))</f>
        <v/>
      </c>
      <c r="S14" s="46">
        <f>IF(A14="","",RANK(R14,$R$2:$R$500,0))</f>
        <v/>
      </c>
    </row>
    <row r="15" ht="22" customHeight="1">
      <c r="A15" s="48" t="n"/>
      <c r="B15" s="51" t="n"/>
      <c r="C15" s="51" t="n"/>
      <c r="D15" s="51" t="n"/>
      <c r="E15" s="51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>
        <f>IF(A15="","",ROUND(B15/10000*0.25+C15/10000*0.05+D15/10000*0.05+E15/10000*0.05+IF(F15="Yes",10,IF(F15="No",0,5))*0.10+IF(G15="Yes",10,IF(G15="No",0,5))*0.05+H15*0.10+I15*0.10+J15*0.05+K15*0.05+L15*0.05+M15*0.05+N15*0.03+O15*0.02+P15*0.05,1))</f>
        <v/>
      </c>
      <c r="S15" s="48">
        <f>IF(A15="","",RANK(R15,$R$2:$R$500,0))</f>
        <v/>
      </c>
    </row>
    <row r="16" ht="22" customHeight="1">
      <c r="A16" s="46" t="n"/>
      <c r="B16" s="50" t="n"/>
      <c r="C16" s="50" t="n"/>
      <c r="D16" s="50" t="n"/>
      <c r="E16" s="50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>
        <f>IF(A16="","",ROUND(B16/10000*0.25+C16/10000*0.05+D16/10000*0.05+E16/10000*0.05+IF(F16="Yes",10,IF(F16="No",0,5))*0.10+IF(G16="Yes",10,IF(G16="No",0,5))*0.05+H16*0.10+I16*0.10+J16*0.05+K16*0.05+L16*0.05+M16*0.05+N16*0.03+O16*0.02+P16*0.05,1))</f>
        <v/>
      </c>
      <c r="S16" s="46">
        <f>IF(A16="","",RANK(R16,$R$2:$R$500,0))</f>
        <v/>
      </c>
    </row>
    <row r="17" ht="22" customHeight="1">
      <c r="A17" s="48" t="n"/>
      <c r="B17" s="51" t="n"/>
      <c r="C17" s="51" t="n"/>
      <c r="D17" s="51" t="n"/>
      <c r="E17" s="51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>
        <f>IF(A17="","",ROUND(B17/10000*0.25+C17/10000*0.05+D17/10000*0.05+E17/10000*0.05+IF(F17="Yes",10,IF(F17="No",0,5))*0.10+IF(G17="Yes",10,IF(G17="No",0,5))*0.05+H17*0.10+I17*0.10+J17*0.05+K17*0.05+L17*0.05+M17*0.05+N17*0.03+O17*0.02+P17*0.05,1))</f>
        <v/>
      </c>
      <c r="S17" s="48">
        <f>IF(A17="","",RANK(R17,$R$2:$R$500,0))</f>
        <v/>
      </c>
    </row>
    <row r="18" ht="22" customHeight="1">
      <c r="A18" s="46" t="n"/>
      <c r="B18" s="50" t="n"/>
      <c r="C18" s="50" t="n"/>
      <c r="D18" s="50" t="n"/>
      <c r="E18" s="50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>
        <f>IF(A18="","",ROUND(B18/10000*0.25+C18/10000*0.05+D18/10000*0.05+E18/10000*0.05+IF(F18="Yes",10,IF(F18="No",0,5))*0.10+IF(G18="Yes",10,IF(G18="No",0,5))*0.05+H18*0.10+I18*0.10+J18*0.05+K18*0.05+L18*0.05+M18*0.05+N18*0.03+O18*0.02+P18*0.05,1))</f>
        <v/>
      </c>
      <c r="S18" s="46">
        <f>IF(A18="","",RANK(R18,$R$2:$R$500,0))</f>
        <v/>
      </c>
    </row>
    <row r="19" ht="22" customHeight="1">
      <c r="A19" s="48" t="n"/>
      <c r="B19" s="51" t="n"/>
      <c r="C19" s="51" t="n"/>
      <c r="D19" s="51" t="n"/>
      <c r="E19" s="51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>
        <f>IF(A19="","",ROUND(B19/10000*0.25+C19/10000*0.05+D19/10000*0.05+E19/10000*0.05+IF(F19="Yes",10,IF(F19="No",0,5))*0.10+IF(G19="Yes",10,IF(G19="No",0,5))*0.05+H19*0.10+I19*0.10+J19*0.05+K19*0.05+L19*0.05+M19*0.05+N19*0.03+O19*0.02+P19*0.05,1))</f>
        <v/>
      </c>
      <c r="S19" s="48">
        <f>IF(A19="","",RANK(R19,$R$2:$R$500,0))</f>
        <v/>
      </c>
    </row>
    <row r="20" ht="22" customHeight="1">
      <c r="A20" s="46" t="n"/>
      <c r="B20" s="50" t="n"/>
      <c r="C20" s="50" t="n"/>
      <c r="D20" s="50" t="n"/>
      <c r="E20" s="50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>
        <f>IF(A20="","",ROUND(B20/10000*0.25+C20/10000*0.05+D20/10000*0.05+E20/10000*0.05+IF(F20="Yes",10,IF(F20="No",0,5))*0.10+IF(G20="Yes",10,IF(G20="No",0,5))*0.05+H20*0.10+I20*0.10+J20*0.05+K20*0.05+L20*0.05+M20*0.05+N20*0.03+O20*0.02+P20*0.05,1))</f>
        <v/>
      </c>
      <c r="S20" s="46">
        <f>IF(A20="","",RANK(R20,$R$2:$R$500,0))</f>
        <v/>
      </c>
    </row>
    <row r="21" ht="22" customHeight="1">
      <c r="A21" s="48" t="n"/>
      <c r="B21" s="51" t="n"/>
      <c r="C21" s="51" t="n"/>
      <c r="D21" s="51" t="n"/>
      <c r="E21" s="51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>
        <f>IF(A21="","",ROUND(B21/10000*0.25+C21/10000*0.05+D21/10000*0.05+E21/10000*0.05+IF(F21="Yes",10,IF(F21="No",0,5))*0.10+IF(G21="Yes",10,IF(G21="No",0,5))*0.05+H21*0.10+I21*0.10+J21*0.05+K21*0.05+L21*0.05+M21*0.05+N21*0.03+O21*0.02+P21*0.05,1))</f>
        <v/>
      </c>
      <c r="S21" s="48">
        <f>IF(A21="","",RANK(R21,$R$2:$R$500,0))</f>
        <v/>
      </c>
    </row>
    <row r="22" ht="22" customHeight="1">
      <c r="A22" s="46" t="n"/>
      <c r="B22" s="50" t="n"/>
      <c r="C22" s="50" t="n"/>
      <c r="D22" s="50" t="n"/>
      <c r="E22" s="50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>
        <f>IF(A22="","",ROUND(B22/10000*0.25+C22/10000*0.05+D22/10000*0.05+E22/10000*0.05+IF(F22="Yes",10,IF(F22="No",0,5))*0.10+IF(G22="Yes",10,IF(G22="No",0,5))*0.05+H22*0.10+I22*0.10+J22*0.05+K22*0.05+L22*0.05+M22*0.05+N22*0.03+O22*0.02+P22*0.05,1))</f>
        <v/>
      </c>
      <c r="S22" s="46">
        <f>IF(A22="","",RANK(R22,$R$2:$R$500,0))</f>
        <v/>
      </c>
    </row>
    <row r="23" ht="22" customHeight="1">
      <c r="A23" s="48" t="n"/>
      <c r="B23" s="51" t="n"/>
      <c r="C23" s="51" t="n"/>
      <c r="D23" s="51" t="n"/>
      <c r="E23" s="51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>
        <f>IF(A23="","",ROUND(B23/10000*0.25+C23/10000*0.05+D23/10000*0.05+E23/10000*0.05+IF(F23="Yes",10,IF(F23="No",0,5))*0.10+IF(G23="Yes",10,IF(G23="No",0,5))*0.05+H23*0.10+I23*0.10+J23*0.05+K23*0.05+L23*0.05+M23*0.05+N23*0.03+O23*0.02+P23*0.05,1))</f>
        <v/>
      </c>
      <c r="S23" s="48">
        <f>IF(A23="","",RANK(R23,$R$2:$R$500,0))</f>
        <v/>
      </c>
    </row>
    <row r="24" ht="22" customHeight="1">
      <c r="A24" s="46" t="n"/>
      <c r="B24" s="50" t="n"/>
      <c r="C24" s="50" t="n"/>
      <c r="D24" s="50" t="n"/>
      <c r="E24" s="50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>
        <f>IF(A24="","",ROUND(B24/10000*0.25+C24/10000*0.05+D24/10000*0.05+E24/10000*0.05+IF(F24="Yes",10,IF(F24="No",0,5))*0.10+IF(G24="Yes",10,IF(G24="No",0,5))*0.05+H24*0.10+I24*0.10+J24*0.05+K24*0.05+L24*0.05+M24*0.05+N24*0.03+O24*0.02+P24*0.05,1))</f>
        <v/>
      </c>
      <c r="S24" s="46">
        <f>IF(A24="","",RANK(R24,$R$2:$R$500,0))</f>
        <v/>
      </c>
    </row>
    <row r="25" ht="22" customHeight="1">
      <c r="A25" s="48" t="n"/>
      <c r="B25" s="51" t="n"/>
      <c r="C25" s="51" t="n"/>
      <c r="D25" s="51" t="n"/>
      <c r="E25" s="51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>
        <f>IF(A25="","",ROUND(B25/10000*0.25+C25/10000*0.05+D25/10000*0.05+E25/10000*0.05+IF(F25="Yes",10,IF(F25="No",0,5))*0.10+IF(G25="Yes",10,IF(G25="No",0,5))*0.05+H25*0.10+I25*0.10+J25*0.05+K25*0.05+L25*0.05+M25*0.05+N25*0.03+O25*0.02+P25*0.05,1))</f>
        <v/>
      </c>
      <c r="S25" s="48">
        <f>IF(A25="","",RANK(R25,$R$2:$R$500,0))</f>
        <v/>
      </c>
    </row>
    <row r="26" ht="22" customHeight="1">
      <c r="A26" s="46" t="n"/>
      <c r="B26" s="50" t="n"/>
      <c r="C26" s="50" t="n"/>
      <c r="D26" s="50" t="n"/>
      <c r="E26" s="50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>
        <f>IF(A26="","",ROUND(B26/10000*0.25+C26/10000*0.05+D26/10000*0.05+E26/10000*0.05+IF(F26="Yes",10,IF(F26="No",0,5))*0.10+IF(G26="Yes",10,IF(G26="No",0,5))*0.05+H26*0.10+I26*0.10+J26*0.05+K26*0.05+L26*0.05+M26*0.05+N26*0.03+O26*0.02+P26*0.05,1))</f>
        <v/>
      </c>
      <c r="S26" s="46">
        <f>IF(A26="","",RANK(R26,$R$2:$R$500,0))</f>
        <v/>
      </c>
    </row>
    <row r="27" ht="22" customHeight="1">
      <c r="A27" s="48" t="n"/>
      <c r="B27" s="51" t="n"/>
      <c r="C27" s="51" t="n"/>
      <c r="D27" s="51" t="n"/>
      <c r="E27" s="51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>
        <f>IF(A27="","",ROUND(B27/10000*0.25+C27/10000*0.05+D27/10000*0.05+E27/10000*0.05+IF(F27="Yes",10,IF(F27="No",0,5))*0.10+IF(G27="Yes",10,IF(G27="No",0,5))*0.05+H27*0.10+I27*0.10+J27*0.05+K27*0.05+L27*0.05+M27*0.05+N27*0.03+O27*0.02+P27*0.05,1))</f>
        <v/>
      </c>
      <c r="S27" s="48">
        <f>IF(A27="","",RANK(R27,$R$2:$R$500,0))</f>
        <v/>
      </c>
    </row>
    <row r="28" ht="22" customHeight="1">
      <c r="A28" s="46" t="n"/>
      <c r="B28" s="50" t="n"/>
      <c r="C28" s="50" t="n"/>
      <c r="D28" s="50" t="n"/>
      <c r="E28" s="50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>
        <f>IF(A28="","",ROUND(B28/10000*0.25+C28/10000*0.05+D28/10000*0.05+E28/10000*0.05+IF(F28="Yes",10,IF(F28="No",0,5))*0.10+IF(G28="Yes",10,IF(G28="No",0,5))*0.05+H28*0.10+I28*0.10+J28*0.05+K28*0.05+L28*0.05+M28*0.05+N28*0.03+O28*0.02+P28*0.05,1))</f>
        <v/>
      </c>
      <c r="S28" s="46">
        <f>IF(A28="","",RANK(R28,$R$2:$R$500,0))</f>
        <v/>
      </c>
    </row>
    <row r="29" ht="22" customHeight="1">
      <c r="A29" s="48" t="n"/>
      <c r="B29" s="51" t="n"/>
      <c r="C29" s="51" t="n"/>
      <c r="D29" s="51" t="n"/>
      <c r="E29" s="51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>
        <f>IF(A29="","",ROUND(B29/10000*0.25+C29/10000*0.05+D29/10000*0.05+E29/10000*0.05+IF(F29="Yes",10,IF(F29="No",0,5))*0.10+IF(G29="Yes",10,IF(G29="No",0,5))*0.05+H29*0.10+I29*0.10+J29*0.05+K29*0.05+L29*0.05+M29*0.05+N29*0.03+O29*0.02+P29*0.05,1))</f>
        <v/>
      </c>
      <c r="S29" s="48">
        <f>IF(A29="","",RANK(R29,$R$2:$R$500,0))</f>
        <v/>
      </c>
    </row>
    <row r="30" ht="22" customHeight="1">
      <c r="A30" s="46" t="n"/>
      <c r="B30" s="50" t="n"/>
      <c r="C30" s="50" t="n"/>
      <c r="D30" s="50" t="n"/>
      <c r="E30" s="50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  <c r="P30" s="46" t="n"/>
      <c r="Q30" s="46" t="n"/>
      <c r="R30" s="46">
        <f>IF(A30="","",ROUND(B30/10000*0.25+C30/10000*0.05+D30/10000*0.05+E30/10000*0.05+IF(F30="Yes",10,IF(F30="No",0,5))*0.10+IF(G30="Yes",10,IF(G30="No",0,5))*0.05+H30*0.10+I30*0.10+J30*0.05+K30*0.05+L30*0.05+M30*0.05+N30*0.03+O30*0.02+P30*0.05,1))</f>
        <v/>
      </c>
      <c r="S30" s="46">
        <f>IF(A30="","",RANK(R30,$R$2:$R$500,0))</f>
        <v/>
      </c>
    </row>
    <row r="31" ht="22" customHeight="1">
      <c r="A31" s="48" t="n"/>
      <c r="B31" s="51" t="n"/>
      <c r="C31" s="51" t="n"/>
      <c r="D31" s="51" t="n"/>
      <c r="E31" s="51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>
        <f>IF(A31="","",ROUND(B31/10000*0.25+C31/10000*0.05+D31/10000*0.05+E31/10000*0.05+IF(F31="Yes",10,IF(F31="No",0,5))*0.10+IF(G31="Yes",10,IF(G31="No",0,5))*0.05+H31*0.10+I31*0.10+J31*0.05+K31*0.05+L31*0.05+M31*0.05+N31*0.03+O31*0.02+P31*0.05,1))</f>
        <v/>
      </c>
      <c r="S31" s="48">
        <f>IF(A31="","",RANK(R31,$R$2:$R$500,0))</f>
        <v/>
      </c>
    </row>
    <row r="32" ht="22" customHeight="1">
      <c r="A32" s="46" t="n"/>
      <c r="B32" s="50" t="n"/>
      <c r="C32" s="50" t="n"/>
      <c r="D32" s="50" t="n"/>
      <c r="E32" s="50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  <c r="P32" s="46" t="n"/>
      <c r="Q32" s="46" t="n"/>
      <c r="R32" s="46">
        <f>IF(A32="","",ROUND(B32/10000*0.25+C32/10000*0.05+D32/10000*0.05+E32/10000*0.05+IF(F32="Yes",10,IF(F32="No",0,5))*0.10+IF(G32="Yes",10,IF(G32="No",0,5))*0.05+H32*0.10+I32*0.10+J32*0.05+K32*0.05+L32*0.05+M32*0.05+N32*0.03+O32*0.02+P32*0.05,1))</f>
        <v/>
      </c>
      <c r="S32" s="46">
        <f>IF(A32="","",RANK(R32,$R$2:$R$500,0))</f>
        <v/>
      </c>
    </row>
    <row r="33" ht="22" customHeight="1">
      <c r="A33" s="48" t="n"/>
      <c r="B33" s="51" t="n"/>
      <c r="C33" s="51" t="n"/>
      <c r="D33" s="51" t="n"/>
      <c r="E33" s="51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>
        <f>IF(A33="","",ROUND(B33/10000*0.25+C33/10000*0.05+D33/10000*0.05+E33/10000*0.05+IF(F33="Yes",10,IF(F33="No",0,5))*0.10+IF(G33="Yes",10,IF(G33="No",0,5))*0.05+H33*0.10+I33*0.10+J33*0.05+K33*0.05+L33*0.05+M33*0.05+N33*0.03+O33*0.02+P33*0.05,1))</f>
        <v/>
      </c>
      <c r="S33" s="48">
        <f>IF(A33="","",RANK(R33,$R$2:$R$500,0))</f>
        <v/>
      </c>
    </row>
    <row r="34" ht="22" customHeight="1">
      <c r="A34" s="46" t="n"/>
      <c r="B34" s="50" t="n"/>
      <c r="C34" s="50" t="n"/>
      <c r="D34" s="50" t="n"/>
      <c r="E34" s="50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6" t="n"/>
      <c r="P34" s="46" t="n"/>
      <c r="Q34" s="46" t="n"/>
      <c r="R34" s="46">
        <f>IF(A34="","",ROUND(B34/10000*0.25+C34/10000*0.05+D34/10000*0.05+E34/10000*0.05+IF(F34="Yes",10,IF(F34="No",0,5))*0.10+IF(G34="Yes",10,IF(G34="No",0,5))*0.05+H34*0.10+I34*0.10+J34*0.05+K34*0.05+L34*0.05+M34*0.05+N34*0.03+O34*0.02+P34*0.05,1))</f>
        <v/>
      </c>
      <c r="S34" s="46">
        <f>IF(A34="","",RANK(R34,$R$2:$R$500,0))</f>
        <v/>
      </c>
    </row>
    <row r="35" ht="22" customHeight="1">
      <c r="A35" s="48" t="n"/>
      <c r="B35" s="51" t="n"/>
      <c r="C35" s="51" t="n"/>
      <c r="D35" s="51" t="n"/>
      <c r="E35" s="51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>
        <f>IF(A35="","",ROUND(B35/10000*0.25+C35/10000*0.05+D35/10000*0.05+E35/10000*0.05+IF(F35="Yes",10,IF(F35="No",0,5))*0.10+IF(G35="Yes",10,IF(G35="No",0,5))*0.05+H35*0.10+I35*0.10+J35*0.05+K35*0.05+L35*0.05+M35*0.05+N35*0.03+O35*0.02+P35*0.05,1))</f>
        <v/>
      </c>
      <c r="S35" s="48">
        <f>IF(A35="","",RANK(R35,$R$2:$R$500,0))</f>
        <v/>
      </c>
    </row>
    <row r="36" ht="22" customHeight="1">
      <c r="A36" s="46" t="n"/>
      <c r="B36" s="50" t="n"/>
      <c r="C36" s="50" t="n"/>
      <c r="D36" s="50" t="n"/>
      <c r="E36" s="50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  <c r="O36" s="46" t="n"/>
      <c r="P36" s="46" t="n"/>
      <c r="Q36" s="46" t="n"/>
      <c r="R36" s="46">
        <f>IF(A36="","",ROUND(B36/10000*0.25+C36/10000*0.05+D36/10000*0.05+E36/10000*0.05+IF(F36="Yes",10,IF(F36="No",0,5))*0.10+IF(G36="Yes",10,IF(G36="No",0,5))*0.05+H36*0.10+I36*0.10+J36*0.05+K36*0.05+L36*0.05+M36*0.05+N36*0.03+O36*0.02+P36*0.05,1))</f>
        <v/>
      </c>
      <c r="S36" s="46">
        <f>IF(A36="","",RANK(R36,$R$2:$R$500,0))</f>
        <v/>
      </c>
    </row>
    <row r="37" ht="22" customHeight="1">
      <c r="A37" s="48" t="n"/>
      <c r="B37" s="51" t="n"/>
      <c r="C37" s="51" t="n"/>
      <c r="D37" s="51" t="n"/>
      <c r="E37" s="51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>
        <f>IF(A37="","",ROUND(B37/10000*0.25+C37/10000*0.05+D37/10000*0.05+E37/10000*0.05+IF(F37="Yes",10,IF(F37="No",0,5))*0.10+IF(G37="Yes",10,IF(G37="No",0,5))*0.05+H37*0.10+I37*0.10+J37*0.05+K37*0.05+L37*0.05+M37*0.05+N37*0.03+O37*0.02+P37*0.05,1))</f>
        <v/>
      </c>
      <c r="S37" s="48">
        <f>IF(A37="","",RANK(R37,$R$2:$R$500,0))</f>
        <v/>
      </c>
    </row>
    <row r="38" ht="22" customHeight="1">
      <c r="A38" s="46" t="n"/>
      <c r="B38" s="50" t="n"/>
      <c r="C38" s="50" t="n"/>
      <c r="D38" s="50" t="n"/>
      <c r="E38" s="50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  <c r="O38" s="46" t="n"/>
      <c r="P38" s="46" t="n"/>
      <c r="Q38" s="46" t="n"/>
      <c r="R38" s="46">
        <f>IF(A38="","",ROUND(B38/10000*0.25+C38/10000*0.05+D38/10000*0.05+E38/10000*0.05+IF(F38="Yes",10,IF(F38="No",0,5))*0.10+IF(G38="Yes",10,IF(G38="No",0,5))*0.05+H38*0.10+I38*0.10+J38*0.05+K38*0.05+L38*0.05+M38*0.05+N38*0.03+O38*0.02+P38*0.05,1))</f>
        <v/>
      </c>
      <c r="S38" s="46">
        <f>IF(A38="","",RANK(R38,$R$2:$R$500,0))</f>
        <v/>
      </c>
    </row>
    <row r="39" ht="22" customHeight="1">
      <c r="A39" s="48" t="n"/>
      <c r="B39" s="51" t="n"/>
      <c r="C39" s="51" t="n"/>
      <c r="D39" s="51" t="n"/>
      <c r="E39" s="51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>
        <f>IF(A39="","",ROUND(B39/10000*0.25+C39/10000*0.05+D39/10000*0.05+E39/10000*0.05+IF(F39="Yes",10,IF(F39="No",0,5))*0.10+IF(G39="Yes",10,IF(G39="No",0,5))*0.05+H39*0.10+I39*0.10+J39*0.05+K39*0.05+L39*0.05+M39*0.05+N39*0.03+O39*0.02+P39*0.05,1))</f>
        <v/>
      </c>
      <c r="S39" s="48">
        <f>IF(A39="","",RANK(R39,$R$2:$R$500,0))</f>
        <v/>
      </c>
    </row>
    <row r="40" ht="22" customHeight="1">
      <c r="A40" s="46" t="n"/>
      <c r="B40" s="50" t="n"/>
      <c r="C40" s="50" t="n"/>
      <c r="D40" s="50" t="n"/>
      <c r="E40" s="50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46" t="n"/>
      <c r="Q40" s="46" t="n"/>
      <c r="R40" s="46">
        <f>IF(A40="","",ROUND(B40/10000*0.25+C40/10000*0.05+D40/10000*0.05+E40/10000*0.05+IF(F40="Yes",10,IF(F40="No",0,5))*0.10+IF(G40="Yes",10,IF(G40="No",0,5))*0.05+H40*0.10+I40*0.10+J40*0.05+K40*0.05+L40*0.05+M40*0.05+N40*0.03+O40*0.02+P40*0.05,1))</f>
        <v/>
      </c>
      <c r="S40" s="46">
        <f>IF(A40="","",RANK(R40,$R$2:$R$500,0))</f>
        <v/>
      </c>
    </row>
    <row r="41" ht="22" customHeight="1">
      <c r="A41" s="48" t="n"/>
      <c r="B41" s="51" t="n"/>
      <c r="C41" s="51" t="n"/>
      <c r="D41" s="51" t="n"/>
      <c r="E41" s="51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>
        <f>IF(A41="","",ROUND(B41/10000*0.25+C41/10000*0.05+D41/10000*0.05+E41/10000*0.05+IF(F41="Yes",10,IF(F41="No",0,5))*0.10+IF(G41="Yes",10,IF(G41="No",0,5))*0.05+H41*0.10+I41*0.10+J41*0.05+K41*0.05+L41*0.05+M41*0.05+N41*0.03+O41*0.02+P41*0.05,1))</f>
        <v/>
      </c>
      <c r="S41" s="48">
        <f>IF(A41="","",RANK(R41,$R$2:$R$500,0))</f>
        <v/>
      </c>
    </row>
    <row r="42" ht="22" customHeight="1">
      <c r="A42" s="46" t="n"/>
      <c r="B42" s="50" t="n"/>
      <c r="C42" s="50" t="n"/>
      <c r="D42" s="50" t="n"/>
      <c r="E42" s="50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46" t="n"/>
      <c r="Q42" s="46" t="n"/>
      <c r="R42" s="46">
        <f>IF(A42="","",ROUND(B42/10000*0.25+C42/10000*0.05+D42/10000*0.05+E42/10000*0.05+IF(F42="Yes",10,IF(F42="No",0,5))*0.10+IF(G42="Yes",10,IF(G42="No",0,5))*0.05+H42*0.10+I42*0.10+J42*0.05+K42*0.05+L42*0.05+M42*0.05+N42*0.03+O42*0.02+P42*0.05,1))</f>
        <v/>
      </c>
      <c r="S42" s="46">
        <f>IF(A42="","",RANK(R42,$R$2:$R$500,0))</f>
        <v/>
      </c>
    </row>
    <row r="43" ht="22" customHeight="1">
      <c r="A43" s="48" t="n"/>
      <c r="B43" s="51" t="n"/>
      <c r="C43" s="51" t="n"/>
      <c r="D43" s="51" t="n"/>
      <c r="E43" s="51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>
        <f>IF(A43="","",ROUND(B43/10000*0.25+C43/10000*0.05+D43/10000*0.05+E43/10000*0.05+IF(F43="Yes",10,IF(F43="No",0,5))*0.10+IF(G43="Yes",10,IF(G43="No",0,5))*0.05+H43*0.10+I43*0.10+J43*0.05+K43*0.05+L43*0.05+M43*0.05+N43*0.03+O43*0.02+P43*0.05,1))</f>
        <v/>
      </c>
      <c r="S43" s="48">
        <f>IF(A43="","",RANK(R43,$R$2:$R$500,0))</f>
        <v/>
      </c>
    </row>
    <row r="44" ht="22" customHeight="1">
      <c r="A44" s="46" t="n"/>
      <c r="B44" s="50" t="n"/>
      <c r="C44" s="50" t="n"/>
      <c r="D44" s="50" t="n"/>
      <c r="E44" s="50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>
        <f>IF(A44="","",ROUND(B44/10000*0.25+C44/10000*0.05+D44/10000*0.05+E44/10000*0.05+IF(F44="Yes",10,IF(F44="No",0,5))*0.10+IF(G44="Yes",10,IF(G44="No",0,5))*0.05+H44*0.10+I44*0.10+J44*0.05+K44*0.05+L44*0.05+M44*0.05+N44*0.03+O44*0.02+P44*0.05,1))</f>
        <v/>
      </c>
      <c r="S44" s="46">
        <f>IF(A44="","",RANK(R44,$R$2:$R$500,0))</f>
        <v/>
      </c>
    </row>
    <row r="45" ht="22" customHeight="1">
      <c r="A45" s="48" t="n"/>
      <c r="B45" s="51" t="n"/>
      <c r="C45" s="51" t="n"/>
      <c r="D45" s="51" t="n"/>
      <c r="E45" s="51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>
        <f>IF(A45="","",ROUND(B45/10000*0.25+C45/10000*0.05+D45/10000*0.05+E45/10000*0.05+IF(F45="Yes",10,IF(F45="No",0,5))*0.10+IF(G45="Yes",10,IF(G45="No",0,5))*0.05+H45*0.10+I45*0.10+J45*0.05+K45*0.05+L45*0.05+M45*0.05+N45*0.03+O45*0.02+P45*0.05,1))</f>
        <v/>
      </c>
      <c r="S45" s="48">
        <f>IF(A45="","",RANK(R45,$R$2:$R$500,0))</f>
        <v/>
      </c>
    </row>
    <row r="46" ht="22" customHeight="1">
      <c r="A46" s="46" t="n"/>
      <c r="B46" s="50" t="n"/>
      <c r="C46" s="50" t="n"/>
      <c r="D46" s="50" t="n"/>
      <c r="E46" s="50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>
        <f>IF(A46="","",ROUND(B46/10000*0.25+C46/10000*0.05+D46/10000*0.05+E46/10000*0.05+IF(F46="Yes",10,IF(F46="No",0,5))*0.10+IF(G46="Yes",10,IF(G46="No",0,5))*0.05+H46*0.10+I46*0.10+J46*0.05+K46*0.05+L46*0.05+M46*0.05+N46*0.03+O46*0.02+P46*0.05,1))</f>
        <v/>
      </c>
      <c r="S46" s="46">
        <f>IF(A46="","",RANK(R46,$R$2:$R$500,0))</f>
        <v/>
      </c>
    </row>
    <row r="47" ht="22" customHeight="1">
      <c r="A47" s="48" t="n"/>
      <c r="B47" s="51" t="n"/>
      <c r="C47" s="51" t="n"/>
      <c r="D47" s="51" t="n"/>
      <c r="E47" s="51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>
        <f>IF(A47="","",ROUND(B47/10000*0.25+C47/10000*0.05+D47/10000*0.05+E47/10000*0.05+IF(F47="Yes",10,IF(F47="No",0,5))*0.10+IF(G47="Yes",10,IF(G47="No",0,5))*0.05+H47*0.10+I47*0.10+J47*0.05+K47*0.05+L47*0.05+M47*0.05+N47*0.03+O47*0.02+P47*0.05,1))</f>
        <v/>
      </c>
      <c r="S47" s="48">
        <f>IF(A47="","",RANK(R47,$R$2:$R$500,0))</f>
        <v/>
      </c>
    </row>
    <row r="48" ht="22" customHeight="1">
      <c r="A48" s="46" t="n"/>
      <c r="B48" s="50" t="n"/>
      <c r="C48" s="50" t="n"/>
      <c r="D48" s="50" t="n"/>
      <c r="E48" s="50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>
        <f>IF(A48="","",ROUND(B48/10000*0.25+C48/10000*0.05+D48/10000*0.05+E48/10000*0.05+IF(F48="Yes",10,IF(F48="No",0,5))*0.10+IF(G48="Yes",10,IF(G48="No",0,5))*0.05+H48*0.10+I48*0.10+J48*0.05+K48*0.05+L48*0.05+M48*0.05+N48*0.03+O48*0.02+P48*0.05,1))</f>
        <v/>
      </c>
      <c r="S48" s="46">
        <f>IF(A48="","",RANK(R48,$R$2:$R$500,0))</f>
        <v/>
      </c>
    </row>
    <row r="49" ht="22" customHeight="1">
      <c r="A49" s="48" t="n"/>
      <c r="B49" s="51" t="n"/>
      <c r="C49" s="51" t="n"/>
      <c r="D49" s="51" t="n"/>
      <c r="E49" s="51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>
        <f>IF(A49="","",ROUND(B49/10000*0.25+C49/10000*0.05+D49/10000*0.05+E49/10000*0.05+IF(F49="Yes",10,IF(F49="No",0,5))*0.10+IF(G49="Yes",10,IF(G49="No",0,5))*0.05+H49*0.10+I49*0.10+J49*0.05+K49*0.05+L49*0.05+M49*0.05+N49*0.03+O49*0.02+P49*0.05,1))</f>
        <v/>
      </c>
      <c r="S49" s="48">
        <f>IF(A49="","",RANK(R49,$R$2:$R$500,0))</f>
        <v/>
      </c>
    </row>
    <row r="50" ht="22" customHeight="1">
      <c r="A50" s="46" t="n"/>
      <c r="B50" s="50" t="n"/>
      <c r="C50" s="50" t="n"/>
      <c r="D50" s="50" t="n"/>
      <c r="E50" s="50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>
        <f>IF(A50="","",ROUND(B50/10000*0.25+C50/10000*0.05+D50/10000*0.05+E50/10000*0.05+IF(F50="Yes",10,IF(F50="No",0,5))*0.10+IF(G50="Yes",10,IF(G50="No",0,5))*0.05+H50*0.10+I50*0.10+J50*0.05+K50*0.05+L50*0.05+M50*0.05+N50*0.03+O50*0.02+P50*0.05,1))</f>
        <v/>
      </c>
      <c r="S50" s="46">
        <f>IF(A50="","",RANK(R50,$R$2:$R$500,0))</f>
        <v/>
      </c>
    </row>
    <row r="51" ht="22" customHeight="1">
      <c r="A51" s="48" t="n"/>
      <c r="B51" s="51" t="n"/>
      <c r="C51" s="51" t="n"/>
      <c r="D51" s="51" t="n"/>
      <c r="E51" s="51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>
        <f>IF(A51="","",ROUND(B51/10000*0.25+C51/10000*0.05+D51/10000*0.05+E51/10000*0.05+IF(F51="Yes",10,IF(F51="No",0,5))*0.10+IF(G51="Yes",10,IF(G51="No",0,5))*0.05+H51*0.10+I51*0.10+J51*0.05+K51*0.05+L51*0.05+M51*0.05+N51*0.03+O51*0.02+P51*0.05,1))</f>
        <v/>
      </c>
      <c r="S51" s="48">
        <f>IF(A51="","",RANK(R51,$R$2:$R$500,0))</f>
        <v/>
      </c>
    </row>
    <row r="52" ht="22" customHeight="1">
      <c r="A52" s="46" t="n"/>
      <c r="B52" s="50" t="n"/>
      <c r="C52" s="50" t="n"/>
      <c r="D52" s="50" t="n"/>
      <c r="E52" s="50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>
        <f>IF(A52="","",ROUND(B52/10000*0.25+C52/10000*0.05+D52/10000*0.05+E52/10000*0.05+IF(F52="Yes",10,IF(F52="No",0,5))*0.10+IF(G52="Yes",10,IF(G52="No",0,5))*0.05+H52*0.10+I52*0.10+J52*0.05+K52*0.05+L52*0.05+M52*0.05+N52*0.03+O52*0.02+P52*0.05,1))</f>
        <v/>
      </c>
      <c r="S52" s="46">
        <f>IF(A52="","",RANK(R52,$R$2:$R$500,0))</f>
        <v/>
      </c>
    </row>
    <row r="53" ht="22" customHeight="1">
      <c r="A53" s="48" t="n"/>
      <c r="B53" s="51" t="n"/>
      <c r="C53" s="51" t="n"/>
      <c r="D53" s="51" t="n"/>
      <c r="E53" s="51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>
        <f>IF(A53="","",ROUND(B53/10000*0.25+C53/10000*0.05+D53/10000*0.05+E53/10000*0.05+IF(F53="Yes",10,IF(F53="No",0,5))*0.10+IF(G53="Yes",10,IF(G53="No",0,5))*0.05+H53*0.10+I53*0.10+J53*0.05+K53*0.05+L53*0.05+M53*0.05+N53*0.03+O53*0.02+P53*0.05,1))</f>
        <v/>
      </c>
      <c r="S53" s="48">
        <f>IF(A53="","",RANK(R53,$R$2:$R$500,0))</f>
        <v/>
      </c>
    </row>
    <row r="54" ht="22" customHeight="1">
      <c r="A54" s="46" t="n"/>
      <c r="B54" s="50" t="n"/>
      <c r="C54" s="50" t="n"/>
      <c r="D54" s="50" t="n"/>
      <c r="E54" s="50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>
        <f>IF(A54="","",ROUND(B54/10000*0.25+C54/10000*0.05+D54/10000*0.05+E54/10000*0.05+IF(F54="Yes",10,IF(F54="No",0,5))*0.10+IF(G54="Yes",10,IF(G54="No",0,5))*0.05+H54*0.10+I54*0.10+J54*0.05+K54*0.05+L54*0.05+M54*0.05+N54*0.03+O54*0.02+P54*0.05,1))</f>
        <v/>
      </c>
      <c r="S54" s="46">
        <f>IF(A54="","",RANK(R54,$R$2:$R$500,0))</f>
        <v/>
      </c>
    </row>
    <row r="55" ht="22" customHeight="1">
      <c r="A55" s="48" t="n"/>
      <c r="B55" s="51" t="n"/>
      <c r="C55" s="51" t="n"/>
      <c r="D55" s="51" t="n"/>
      <c r="E55" s="51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>
        <f>IF(A55="","",ROUND(B55/10000*0.25+C55/10000*0.05+D55/10000*0.05+E55/10000*0.05+IF(F55="Yes",10,IF(F55="No",0,5))*0.10+IF(G55="Yes",10,IF(G55="No",0,5))*0.05+H55*0.10+I55*0.10+J55*0.05+K55*0.05+L55*0.05+M55*0.05+N55*0.03+O55*0.02+P55*0.05,1))</f>
        <v/>
      </c>
      <c r="S55" s="48">
        <f>IF(A55="","",RANK(R55,$R$2:$R$500,0))</f>
        <v/>
      </c>
    </row>
    <row r="56" ht="22" customHeight="1">
      <c r="A56" s="46" t="n"/>
      <c r="B56" s="50" t="n"/>
      <c r="C56" s="50" t="n"/>
      <c r="D56" s="50" t="n"/>
      <c r="E56" s="50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>
        <f>IF(A56="","",ROUND(B56/10000*0.25+C56/10000*0.05+D56/10000*0.05+E56/10000*0.05+IF(F56="Yes",10,IF(F56="No",0,5))*0.10+IF(G56="Yes",10,IF(G56="No",0,5))*0.05+H56*0.10+I56*0.10+J56*0.05+K56*0.05+L56*0.05+M56*0.05+N56*0.03+O56*0.02+P56*0.05,1))</f>
        <v/>
      </c>
      <c r="S56" s="46">
        <f>IF(A56="","",RANK(R56,$R$2:$R$500,0))</f>
        <v/>
      </c>
    </row>
    <row r="57" ht="22" customHeight="1">
      <c r="A57" s="48" t="n"/>
      <c r="B57" s="51" t="n"/>
      <c r="C57" s="51" t="n"/>
      <c r="D57" s="51" t="n"/>
      <c r="E57" s="51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>
        <f>IF(A57="","",ROUND(B57/10000*0.25+C57/10000*0.05+D57/10000*0.05+E57/10000*0.05+IF(F57="Yes",10,IF(F57="No",0,5))*0.10+IF(G57="Yes",10,IF(G57="No",0,5))*0.05+H57*0.10+I57*0.10+J57*0.05+K57*0.05+L57*0.05+M57*0.05+N57*0.03+O57*0.02+P57*0.05,1))</f>
        <v/>
      </c>
      <c r="S57" s="48">
        <f>IF(A57="","",RANK(R57,$R$2:$R$500,0))</f>
        <v/>
      </c>
    </row>
    <row r="58" ht="22" customHeight="1">
      <c r="A58" s="46" t="n"/>
      <c r="B58" s="50" t="n"/>
      <c r="C58" s="50" t="n"/>
      <c r="D58" s="50" t="n"/>
      <c r="E58" s="50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>
        <f>IF(A58="","",ROUND(B58/10000*0.25+C58/10000*0.05+D58/10000*0.05+E58/10000*0.05+IF(F58="Yes",10,IF(F58="No",0,5))*0.10+IF(G58="Yes",10,IF(G58="No",0,5))*0.05+H58*0.10+I58*0.10+J58*0.05+K58*0.05+L58*0.05+M58*0.05+N58*0.03+O58*0.02+P58*0.05,1))</f>
        <v/>
      </c>
      <c r="S58" s="46">
        <f>IF(A58="","",RANK(R58,$R$2:$R$500,0))</f>
        <v/>
      </c>
    </row>
    <row r="59" ht="22" customHeight="1">
      <c r="A59" s="48" t="n"/>
      <c r="B59" s="51" t="n"/>
      <c r="C59" s="51" t="n"/>
      <c r="D59" s="51" t="n"/>
      <c r="E59" s="51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>
        <f>IF(A59="","",ROUND(B59/10000*0.25+C59/10000*0.05+D59/10000*0.05+E59/10000*0.05+IF(F59="Yes",10,IF(F59="No",0,5))*0.10+IF(G59="Yes",10,IF(G59="No",0,5))*0.05+H59*0.10+I59*0.10+J59*0.05+K59*0.05+L59*0.05+M59*0.05+N59*0.03+O59*0.02+P59*0.05,1))</f>
        <v/>
      </c>
      <c r="S59" s="48">
        <f>IF(A59="","",RANK(R59,$R$2:$R$500,0))</f>
        <v/>
      </c>
    </row>
    <row r="60" ht="22" customHeight="1">
      <c r="A60" s="46" t="n"/>
      <c r="B60" s="50" t="n"/>
      <c r="C60" s="50" t="n"/>
      <c r="D60" s="50" t="n"/>
      <c r="E60" s="50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>
        <f>IF(A60="","",ROUND(B60/10000*0.25+C60/10000*0.05+D60/10000*0.05+E60/10000*0.05+IF(F60="Yes",10,IF(F60="No",0,5))*0.10+IF(G60="Yes",10,IF(G60="No",0,5))*0.05+H60*0.10+I60*0.10+J60*0.05+K60*0.05+L60*0.05+M60*0.05+N60*0.03+O60*0.02+P60*0.05,1))</f>
        <v/>
      </c>
      <c r="S60" s="46">
        <f>IF(A60="","",RANK(R60,$R$2:$R$500,0))</f>
        <v/>
      </c>
    </row>
    <row r="61" ht="22" customHeight="1">
      <c r="A61" s="48" t="n"/>
      <c r="B61" s="51" t="n"/>
      <c r="C61" s="51" t="n"/>
      <c r="D61" s="51" t="n"/>
      <c r="E61" s="51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>
        <f>IF(A61="","",ROUND(B61/10000*0.25+C61/10000*0.05+D61/10000*0.05+E61/10000*0.05+IF(F61="Yes",10,IF(F61="No",0,5))*0.10+IF(G61="Yes",10,IF(G61="No",0,5))*0.05+H61*0.10+I61*0.10+J61*0.05+K61*0.05+L61*0.05+M61*0.05+N61*0.03+O61*0.02+P61*0.05,1))</f>
        <v/>
      </c>
      <c r="S61" s="48">
        <f>IF(A61="","",RANK(R61,$R$2:$R$500,0))</f>
        <v/>
      </c>
    </row>
    <row r="62" ht="22" customHeight="1">
      <c r="A62" s="46" t="n"/>
      <c r="B62" s="50" t="n"/>
      <c r="C62" s="50" t="n"/>
      <c r="D62" s="50" t="n"/>
      <c r="E62" s="50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>
        <f>IF(A62="","",ROUND(B62/10000*0.25+C62/10000*0.05+D62/10000*0.05+E62/10000*0.05+IF(F62="Yes",10,IF(F62="No",0,5))*0.10+IF(G62="Yes",10,IF(G62="No",0,5))*0.05+H62*0.10+I62*0.10+J62*0.05+K62*0.05+L62*0.05+M62*0.05+N62*0.03+O62*0.02+P62*0.05,1))</f>
        <v/>
      </c>
      <c r="S62" s="46">
        <f>IF(A62="","",RANK(R62,$R$2:$R$500,0))</f>
        <v/>
      </c>
    </row>
    <row r="63" ht="22" customHeight="1">
      <c r="A63" s="48" t="n"/>
      <c r="B63" s="51" t="n"/>
      <c r="C63" s="51" t="n"/>
      <c r="D63" s="51" t="n"/>
      <c r="E63" s="51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>
        <f>IF(A63="","",ROUND(B63/10000*0.25+C63/10000*0.05+D63/10000*0.05+E63/10000*0.05+IF(F63="Yes",10,IF(F63="No",0,5))*0.10+IF(G63="Yes",10,IF(G63="No",0,5))*0.05+H63*0.10+I63*0.10+J63*0.05+K63*0.05+L63*0.05+M63*0.05+N63*0.03+O63*0.02+P63*0.05,1))</f>
        <v/>
      </c>
      <c r="S63" s="48">
        <f>IF(A63="","",RANK(R63,$R$2:$R$500,0))</f>
        <v/>
      </c>
    </row>
    <row r="64" ht="22" customHeight="1">
      <c r="A64" s="46" t="n"/>
      <c r="B64" s="50" t="n"/>
      <c r="C64" s="50" t="n"/>
      <c r="D64" s="50" t="n"/>
      <c r="E64" s="50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>
        <f>IF(A64="","",ROUND(B64/10000*0.25+C64/10000*0.05+D64/10000*0.05+E64/10000*0.05+IF(F64="Yes",10,IF(F64="No",0,5))*0.10+IF(G64="Yes",10,IF(G64="No",0,5))*0.05+H64*0.10+I64*0.10+J64*0.05+K64*0.05+L64*0.05+M64*0.05+N64*0.03+O64*0.02+P64*0.05,1))</f>
        <v/>
      </c>
      <c r="S64" s="46">
        <f>IF(A64="","",RANK(R64,$R$2:$R$500,0))</f>
        <v/>
      </c>
    </row>
    <row r="65" ht="22" customHeight="1">
      <c r="A65" s="48" t="n"/>
      <c r="B65" s="51" t="n"/>
      <c r="C65" s="51" t="n"/>
      <c r="D65" s="51" t="n"/>
      <c r="E65" s="51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>
        <f>IF(A65="","",ROUND(B65/10000*0.25+C65/10000*0.05+D65/10000*0.05+E65/10000*0.05+IF(F65="Yes",10,IF(F65="No",0,5))*0.10+IF(G65="Yes",10,IF(G65="No",0,5))*0.05+H65*0.10+I65*0.10+J65*0.05+K65*0.05+L65*0.05+M65*0.05+N65*0.03+O65*0.02+P65*0.05,1))</f>
        <v/>
      </c>
      <c r="S65" s="48">
        <f>IF(A65="","",RANK(R65,$R$2:$R$500,0))</f>
        <v/>
      </c>
    </row>
    <row r="66" ht="22" customHeight="1">
      <c r="A66" s="46" t="n"/>
      <c r="B66" s="50" t="n"/>
      <c r="C66" s="50" t="n"/>
      <c r="D66" s="50" t="n"/>
      <c r="E66" s="50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>
        <f>IF(A66="","",ROUND(B66/10000*0.25+C66/10000*0.05+D66/10000*0.05+E66/10000*0.05+IF(F66="Yes",10,IF(F66="No",0,5))*0.10+IF(G66="Yes",10,IF(G66="No",0,5))*0.05+H66*0.10+I66*0.10+J66*0.05+K66*0.05+L66*0.05+M66*0.05+N66*0.03+O66*0.02+P66*0.05,1))</f>
        <v/>
      </c>
      <c r="S66" s="46">
        <f>IF(A66="","",RANK(R66,$R$2:$R$500,0))</f>
        <v/>
      </c>
    </row>
    <row r="67" ht="22" customHeight="1">
      <c r="A67" s="48" t="n"/>
      <c r="B67" s="51" t="n"/>
      <c r="C67" s="51" t="n"/>
      <c r="D67" s="51" t="n"/>
      <c r="E67" s="51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>
        <f>IF(A67="","",ROUND(B67/10000*0.25+C67/10000*0.05+D67/10000*0.05+E67/10000*0.05+IF(F67="Yes",10,IF(F67="No",0,5))*0.10+IF(G67="Yes",10,IF(G67="No",0,5))*0.05+H67*0.10+I67*0.10+J67*0.05+K67*0.05+L67*0.05+M67*0.05+N67*0.03+O67*0.02+P67*0.05,1))</f>
        <v/>
      </c>
      <c r="S67" s="48">
        <f>IF(A67="","",RANK(R67,$R$2:$R$500,0))</f>
        <v/>
      </c>
    </row>
    <row r="68" ht="22" customHeight="1">
      <c r="A68" s="46" t="n"/>
      <c r="B68" s="50" t="n"/>
      <c r="C68" s="50" t="n"/>
      <c r="D68" s="50" t="n"/>
      <c r="E68" s="50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>
        <f>IF(A68="","",ROUND(B68/10000*0.25+C68/10000*0.05+D68/10000*0.05+E68/10000*0.05+IF(F68="Yes",10,IF(F68="No",0,5))*0.10+IF(G68="Yes",10,IF(G68="No",0,5))*0.05+H68*0.10+I68*0.10+J68*0.05+K68*0.05+L68*0.05+M68*0.05+N68*0.03+O68*0.02+P68*0.05,1))</f>
        <v/>
      </c>
      <c r="S68" s="46">
        <f>IF(A68="","",RANK(R68,$R$2:$R$500,0))</f>
        <v/>
      </c>
    </row>
    <row r="69" ht="22" customHeight="1">
      <c r="A69" s="48" t="n"/>
      <c r="B69" s="51" t="n"/>
      <c r="C69" s="51" t="n"/>
      <c r="D69" s="51" t="n"/>
      <c r="E69" s="51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>
        <f>IF(A69="","",ROUND(B69/10000*0.25+C69/10000*0.05+D69/10000*0.05+E69/10000*0.05+IF(F69="Yes",10,IF(F69="No",0,5))*0.10+IF(G69="Yes",10,IF(G69="No",0,5))*0.05+H69*0.10+I69*0.10+J69*0.05+K69*0.05+L69*0.05+M69*0.05+N69*0.03+O69*0.02+P69*0.05,1))</f>
        <v/>
      </c>
      <c r="S69" s="48">
        <f>IF(A69="","",RANK(R69,$R$2:$R$500,0))</f>
        <v/>
      </c>
    </row>
    <row r="70" ht="22" customHeight="1">
      <c r="A70" s="46" t="n"/>
      <c r="B70" s="50" t="n"/>
      <c r="C70" s="50" t="n"/>
      <c r="D70" s="50" t="n"/>
      <c r="E70" s="50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>
        <f>IF(A70="","",ROUND(B70/10000*0.25+C70/10000*0.05+D70/10000*0.05+E70/10000*0.05+IF(F70="Yes",10,IF(F70="No",0,5))*0.10+IF(G70="Yes",10,IF(G70="No",0,5))*0.05+H70*0.10+I70*0.10+J70*0.05+K70*0.05+L70*0.05+M70*0.05+N70*0.03+O70*0.02+P70*0.05,1))</f>
        <v/>
      </c>
      <c r="S70" s="46">
        <f>IF(A70="","",RANK(R70,$R$2:$R$500,0))</f>
        <v/>
      </c>
    </row>
    <row r="71" ht="22" customHeight="1">
      <c r="A71" s="48" t="n"/>
      <c r="B71" s="51" t="n"/>
      <c r="C71" s="51" t="n"/>
      <c r="D71" s="51" t="n"/>
      <c r="E71" s="51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>
        <f>IF(A71="","",ROUND(B71/10000*0.25+C71/10000*0.05+D71/10000*0.05+E71/10000*0.05+IF(F71="Yes",10,IF(F71="No",0,5))*0.10+IF(G71="Yes",10,IF(G71="No",0,5))*0.05+H71*0.10+I71*0.10+J71*0.05+K71*0.05+L71*0.05+M71*0.05+N71*0.03+O71*0.02+P71*0.05,1))</f>
        <v/>
      </c>
      <c r="S71" s="48">
        <f>IF(A71="","",RANK(R71,$R$2:$R$500,0))</f>
        <v/>
      </c>
    </row>
    <row r="72" ht="22" customHeight="1">
      <c r="A72" s="46" t="n"/>
      <c r="B72" s="50" t="n"/>
      <c r="C72" s="50" t="n"/>
      <c r="D72" s="50" t="n"/>
      <c r="E72" s="50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>
        <f>IF(A72="","",ROUND(B72/10000*0.25+C72/10000*0.05+D72/10000*0.05+E72/10000*0.05+IF(F72="Yes",10,IF(F72="No",0,5))*0.10+IF(G72="Yes",10,IF(G72="No",0,5))*0.05+H72*0.10+I72*0.10+J72*0.05+K72*0.05+L72*0.05+M72*0.05+N72*0.03+O72*0.02+P72*0.05,1))</f>
        <v/>
      </c>
      <c r="S72" s="46">
        <f>IF(A72="","",RANK(R72,$R$2:$R$500,0))</f>
        <v/>
      </c>
    </row>
    <row r="73" ht="22" customHeight="1">
      <c r="A73" s="48" t="n"/>
      <c r="B73" s="51" t="n"/>
      <c r="C73" s="51" t="n"/>
      <c r="D73" s="51" t="n"/>
      <c r="E73" s="51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>
        <f>IF(A73="","",ROUND(B73/10000*0.25+C73/10000*0.05+D73/10000*0.05+E73/10000*0.05+IF(F73="Yes",10,IF(F73="No",0,5))*0.10+IF(G73="Yes",10,IF(G73="No",0,5))*0.05+H73*0.10+I73*0.10+J73*0.05+K73*0.05+L73*0.05+M73*0.05+N73*0.03+O73*0.02+P73*0.05,1))</f>
        <v/>
      </c>
      <c r="S73" s="48">
        <f>IF(A73="","",RANK(R73,$R$2:$R$500,0))</f>
        <v/>
      </c>
    </row>
    <row r="74" ht="22" customHeight="1">
      <c r="A74" s="46" t="n"/>
      <c r="B74" s="50" t="n"/>
      <c r="C74" s="50" t="n"/>
      <c r="D74" s="50" t="n"/>
      <c r="E74" s="50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>
        <f>IF(A74="","",ROUND(B74/10000*0.25+C74/10000*0.05+D74/10000*0.05+E74/10000*0.05+IF(F74="Yes",10,IF(F74="No",0,5))*0.10+IF(G74="Yes",10,IF(G74="No",0,5))*0.05+H74*0.10+I74*0.10+J74*0.05+K74*0.05+L74*0.05+M74*0.05+N74*0.03+O74*0.02+P74*0.05,1))</f>
        <v/>
      </c>
      <c r="S74" s="46">
        <f>IF(A74="","",RANK(R74,$R$2:$R$500,0))</f>
        <v/>
      </c>
    </row>
    <row r="75" ht="22" customHeight="1">
      <c r="A75" s="48" t="n"/>
      <c r="B75" s="51" t="n"/>
      <c r="C75" s="51" t="n"/>
      <c r="D75" s="51" t="n"/>
      <c r="E75" s="51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>
        <f>IF(A75="","",ROUND(B75/10000*0.25+C75/10000*0.05+D75/10000*0.05+E75/10000*0.05+IF(F75="Yes",10,IF(F75="No",0,5))*0.10+IF(G75="Yes",10,IF(G75="No",0,5))*0.05+H75*0.10+I75*0.10+J75*0.05+K75*0.05+L75*0.05+M75*0.05+N75*0.03+O75*0.02+P75*0.05,1))</f>
        <v/>
      </c>
      <c r="S75" s="48">
        <f>IF(A75="","",RANK(R75,$R$2:$R$500,0))</f>
        <v/>
      </c>
    </row>
    <row r="76" ht="22" customHeight="1">
      <c r="A76" s="46" t="n"/>
      <c r="B76" s="50" t="n"/>
      <c r="C76" s="50" t="n"/>
      <c r="D76" s="50" t="n"/>
      <c r="E76" s="50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>
        <f>IF(A76="","",ROUND(B76/10000*0.25+C76/10000*0.05+D76/10000*0.05+E76/10000*0.05+IF(F76="Yes",10,IF(F76="No",0,5))*0.10+IF(G76="Yes",10,IF(G76="No",0,5))*0.05+H76*0.10+I76*0.10+J76*0.05+K76*0.05+L76*0.05+M76*0.05+N76*0.03+O76*0.02+P76*0.05,1))</f>
        <v/>
      </c>
      <c r="S76" s="46">
        <f>IF(A76="","",RANK(R76,$R$2:$R$500,0))</f>
        <v/>
      </c>
    </row>
    <row r="77" ht="22" customHeight="1">
      <c r="A77" s="48" t="n"/>
      <c r="B77" s="51" t="n"/>
      <c r="C77" s="51" t="n"/>
      <c r="D77" s="51" t="n"/>
      <c r="E77" s="51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>
        <f>IF(A77="","",ROUND(B77/10000*0.25+C77/10000*0.05+D77/10000*0.05+E77/10000*0.05+IF(F77="Yes",10,IF(F77="No",0,5))*0.10+IF(G77="Yes",10,IF(G77="No",0,5))*0.05+H77*0.10+I77*0.10+J77*0.05+K77*0.05+L77*0.05+M77*0.05+N77*0.03+O77*0.02+P77*0.05,1))</f>
        <v/>
      </c>
      <c r="S77" s="48">
        <f>IF(A77="","",RANK(R77,$R$2:$R$500,0))</f>
        <v/>
      </c>
    </row>
    <row r="78" ht="22" customHeight="1">
      <c r="A78" s="46" t="n"/>
      <c r="B78" s="50" t="n"/>
      <c r="C78" s="50" t="n"/>
      <c r="D78" s="50" t="n"/>
      <c r="E78" s="50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>
        <f>IF(A78="","",ROUND(B78/10000*0.25+C78/10000*0.05+D78/10000*0.05+E78/10000*0.05+IF(F78="Yes",10,IF(F78="No",0,5))*0.10+IF(G78="Yes",10,IF(G78="No",0,5))*0.05+H78*0.10+I78*0.10+J78*0.05+K78*0.05+L78*0.05+M78*0.05+N78*0.03+O78*0.02+P78*0.05,1))</f>
        <v/>
      </c>
      <c r="S78" s="46">
        <f>IF(A78="","",RANK(R78,$R$2:$R$500,0))</f>
        <v/>
      </c>
    </row>
    <row r="79" ht="22" customHeight="1">
      <c r="A79" s="48" t="n"/>
      <c r="B79" s="51" t="n"/>
      <c r="C79" s="51" t="n"/>
      <c r="D79" s="51" t="n"/>
      <c r="E79" s="51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>
        <f>IF(A79="","",ROUND(B79/10000*0.25+C79/10000*0.05+D79/10000*0.05+E79/10000*0.05+IF(F79="Yes",10,IF(F79="No",0,5))*0.10+IF(G79="Yes",10,IF(G79="No",0,5))*0.05+H79*0.10+I79*0.10+J79*0.05+K79*0.05+L79*0.05+M79*0.05+N79*0.03+O79*0.02+P79*0.05,1))</f>
        <v/>
      </c>
      <c r="S79" s="48">
        <f>IF(A79="","",RANK(R79,$R$2:$R$500,0))</f>
        <v/>
      </c>
    </row>
    <row r="80" ht="22" customHeight="1">
      <c r="A80" s="46" t="n"/>
      <c r="B80" s="50" t="n"/>
      <c r="C80" s="50" t="n"/>
      <c r="D80" s="50" t="n"/>
      <c r="E80" s="50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>
        <f>IF(A80="","",ROUND(B80/10000*0.25+C80/10000*0.05+D80/10000*0.05+E80/10000*0.05+IF(F80="Yes",10,IF(F80="No",0,5))*0.10+IF(G80="Yes",10,IF(G80="No",0,5))*0.05+H80*0.10+I80*0.10+J80*0.05+K80*0.05+L80*0.05+M80*0.05+N80*0.03+O80*0.02+P80*0.05,1))</f>
        <v/>
      </c>
      <c r="S80" s="46">
        <f>IF(A80="","",RANK(R80,$R$2:$R$500,0))</f>
        <v/>
      </c>
    </row>
    <row r="81" ht="22" customHeight="1">
      <c r="A81" s="48" t="n"/>
      <c r="B81" s="51" t="n"/>
      <c r="C81" s="51" t="n"/>
      <c r="D81" s="51" t="n"/>
      <c r="E81" s="51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>
        <f>IF(A81="","",ROUND(B81/10000*0.25+C81/10000*0.05+D81/10000*0.05+E81/10000*0.05+IF(F81="Yes",10,IF(F81="No",0,5))*0.10+IF(G81="Yes",10,IF(G81="No",0,5))*0.05+H81*0.10+I81*0.10+J81*0.05+K81*0.05+L81*0.05+M81*0.05+N81*0.03+O81*0.02+P81*0.05,1))</f>
        <v/>
      </c>
      <c r="S81" s="48">
        <f>IF(A81="","",RANK(R81,$R$2:$R$500,0))</f>
        <v/>
      </c>
    </row>
    <row r="82" ht="22" customHeight="1">
      <c r="A82" s="46" t="n"/>
      <c r="B82" s="50" t="n"/>
      <c r="C82" s="50" t="n"/>
      <c r="D82" s="50" t="n"/>
      <c r="E82" s="50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>
        <f>IF(A82="","",ROUND(B82/10000*0.25+C82/10000*0.05+D82/10000*0.05+E82/10000*0.05+IF(F82="Yes",10,IF(F82="No",0,5))*0.10+IF(G82="Yes",10,IF(G82="No",0,5))*0.05+H82*0.10+I82*0.10+J82*0.05+K82*0.05+L82*0.05+M82*0.05+N82*0.03+O82*0.02+P82*0.05,1))</f>
        <v/>
      </c>
      <c r="S82" s="46">
        <f>IF(A82="","",RANK(R82,$R$2:$R$500,0))</f>
        <v/>
      </c>
    </row>
    <row r="83" ht="22" customHeight="1">
      <c r="A83" s="48" t="n"/>
      <c r="B83" s="51" t="n"/>
      <c r="C83" s="51" t="n"/>
      <c r="D83" s="51" t="n"/>
      <c r="E83" s="51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>
        <f>IF(A83="","",ROUND(B83/10000*0.25+C83/10000*0.05+D83/10000*0.05+E83/10000*0.05+IF(F83="Yes",10,IF(F83="No",0,5))*0.10+IF(G83="Yes",10,IF(G83="No",0,5))*0.05+H83*0.10+I83*0.10+J83*0.05+K83*0.05+L83*0.05+M83*0.05+N83*0.03+O83*0.02+P83*0.05,1))</f>
        <v/>
      </c>
      <c r="S83" s="48">
        <f>IF(A83="","",RANK(R83,$R$2:$R$500,0))</f>
        <v/>
      </c>
    </row>
    <row r="84" ht="22" customHeight="1">
      <c r="A84" s="46" t="n"/>
      <c r="B84" s="50" t="n"/>
      <c r="C84" s="50" t="n"/>
      <c r="D84" s="50" t="n"/>
      <c r="E84" s="50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>
        <f>IF(A84="","",ROUND(B84/10000*0.25+C84/10000*0.05+D84/10000*0.05+E84/10000*0.05+IF(F84="Yes",10,IF(F84="No",0,5))*0.10+IF(G84="Yes",10,IF(G84="No",0,5))*0.05+H84*0.10+I84*0.10+J84*0.05+K84*0.05+L84*0.05+M84*0.05+N84*0.03+O84*0.02+P84*0.05,1))</f>
        <v/>
      </c>
      <c r="S84" s="46">
        <f>IF(A84="","",RANK(R84,$R$2:$R$500,0))</f>
        <v/>
      </c>
    </row>
    <row r="85" ht="22" customHeight="1">
      <c r="A85" s="48" t="n"/>
      <c r="B85" s="51" t="n"/>
      <c r="C85" s="51" t="n"/>
      <c r="D85" s="51" t="n"/>
      <c r="E85" s="51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>
        <f>IF(A85="","",ROUND(B85/10000*0.25+C85/10000*0.05+D85/10000*0.05+E85/10000*0.05+IF(F85="Yes",10,IF(F85="No",0,5))*0.10+IF(G85="Yes",10,IF(G85="No",0,5))*0.05+H85*0.10+I85*0.10+J85*0.05+K85*0.05+L85*0.05+M85*0.05+N85*0.03+O85*0.02+P85*0.05,1))</f>
        <v/>
      </c>
      <c r="S85" s="48">
        <f>IF(A85="","",RANK(R85,$R$2:$R$500,0))</f>
        <v/>
      </c>
    </row>
    <row r="86" ht="22" customHeight="1">
      <c r="A86" s="46" t="n"/>
      <c r="B86" s="50" t="n"/>
      <c r="C86" s="50" t="n"/>
      <c r="D86" s="50" t="n"/>
      <c r="E86" s="50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>
        <f>IF(A86="","",ROUND(B86/10000*0.25+C86/10000*0.05+D86/10000*0.05+E86/10000*0.05+IF(F86="Yes",10,IF(F86="No",0,5))*0.10+IF(G86="Yes",10,IF(G86="No",0,5))*0.05+H86*0.10+I86*0.10+J86*0.05+K86*0.05+L86*0.05+M86*0.05+N86*0.03+O86*0.02+P86*0.05,1))</f>
        <v/>
      </c>
      <c r="S86" s="46">
        <f>IF(A86="","",RANK(R86,$R$2:$R$500,0))</f>
        <v/>
      </c>
    </row>
    <row r="87" ht="22" customHeight="1">
      <c r="A87" s="48" t="n"/>
      <c r="B87" s="51" t="n"/>
      <c r="C87" s="51" t="n"/>
      <c r="D87" s="51" t="n"/>
      <c r="E87" s="51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>
        <f>IF(A87="","",ROUND(B87/10000*0.25+C87/10000*0.05+D87/10000*0.05+E87/10000*0.05+IF(F87="Yes",10,IF(F87="No",0,5))*0.10+IF(G87="Yes",10,IF(G87="No",0,5))*0.05+H87*0.10+I87*0.10+J87*0.05+K87*0.05+L87*0.05+M87*0.05+N87*0.03+O87*0.02+P87*0.05,1))</f>
        <v/>
      </c>
      <c r="S87" s="48">
        <f>IF(A87="","",RANK(R87,$R$2:$R$500,0))</f>
        <v/>
      </c>
    </row>
    <row r="88" ht="22" customHeight="1">
      <c r="A88" s="46" t="n"/>
      <c r="B88" s="50" t="n"/>
      <c r="C88" s="50" t="n"/>
      <c r="D88" s="50" t="n"/>
      <c r="E88" s="50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>
        <f>IF(A88="","",ROUND(B88/10000*0.25+C88/10000*0.05+D88/10000*0.05+E88/10000*0.05+IF(F88="Yes",10,IF(F88="No",0,5))*0.10+IF(G88="Yes",10,IF(G88="No",0,5))*0.05+H88*0.10+I88*0.10+J88*0.05+K88*0.05+L88*0.05+M88*0.05+N88*0.03+O88*0.02+P88*0.05,1))</f>
        <v/>
      </c>
      <c r="S88" s="46">
        <f>IF(A88="","",RANK(R88,$R$2:$R$500,0))</f>
        <v/>
      </c>
    </row>
    <row r="89" ht="22" customHeight="1">
      <c r="A89" s="48" t="n"/>
      <c r="B89" s="51" t="n"/>
      <c r="C89" s="51" t="n"/>
      <c r="D89" s="51" t="n"/>
      <c r="E89" s="51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>
        <f>IF(A89="","",ROUND(B89/10000*0.25+C89/10000*0.05+D89/10000*0.05+E89/10000*0.05+IF(F89="Yes",10,IF(F89="No",0,5))*0.10+IF(G89="Yes",10,IF(G89="No",0,5))*0.05+H89*0.10+I89*0.10+J89*0.05+K89*0.05+L89*0.05+M89*0.05+N89*0.03+O89*0.02+P89*0.05,1))</f>
        <v/>
      </c>
      <c r="S89" s="48">
        <f>IF(A89="","",RANK(R89,$R$2:$R$500,0))</f>
        <v/>
      </c>
    </row>
    <row r="90" ht="22" customHeight="1">
      <c r="A90" s="46" t="n"/>
      <c r="B90" s="50" t="n"/>
      <c r="C90" s="50" t="n"/>
      <c r="D90" s="50" t="n"/>
      <c r="E90" s="50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>
        <f>IF(A90="","",ROUND(B90/10000*0.25+C90/10000*0.05+D90/10000*0.05+E90/10000*0.05+IF(F90="Yes",10,IF(F90="No",0,5))*0.10+IF(G90="Yes",10,IF(G90="No",0,5))*0.05+H90*0.10+I90*0.10+J90*0.05+K90*0.05+L90*0.05+M90*0.05+N90*0.03+O90*0.02+P90*0.05,1))</f>
        <v/>
      </c>
      <c r="S90" s="46">
        <f>IF(A90="","",RANK(R90,$R$2:$R$500,0))</f>
        <v/>
      </c>
    </row>
    <row r="91" ht="22" customHeight="1">
      <c r="A91" s="48" t="n"/>
      <c r="B91" s="51" t="n"/>
      <c r="C91" s="51" t="n"/>
      <c r="D91" s="51" t="n"/>
      <c r="E91" s="51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>
        <f>IF(A91="","",ROUND(B91/10000*0.25+C91/10000*0.05+D91/10000*0.05+E91/10000*0.05+IF(F91="Yes",10,IF(F91="No",0,5))*0.10+IF(G91="Yes",10,IF(G91="No",0,5))*0.05+H91*0.10+I91*0.10+J91*0.05+K91*0.05+L91*0.05+M91*0.05+N91*0.03+O91*0.02+P91*0.05,1))</f>
        <v/>
      </c>
      <c r="S91" s="48">
        <f>IF(A91="","",RANK(R91,$R$2:$R$500,0))</f>
        <v/>
      </c>
    </row>
    <row r="92" ht="22" customHeight="1">
      <c r="A92" s="46" t="n"/>
      <c r="B92" s="50" t="n"/>
      <c r="C92" s="50" t="n"/>
      <c r="D92" s="50" t="n"/>
      <c r="E92" s="50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>
        <f>IF(A92="","",ROUND(B92/10000*0.25+C92/10000*0.05+D92/10000*0.05+E92/10000*0.05+IF(F92="Yes",10,IF(F92="No",0,5))*0.10+IF(G92="Yes",10,IF(G92="No",0,5))*0.05+H92*0.10+I92*0.10+J92*0.05+K92*0.05+L92*0.05+M92*0.05+N92*0.03+O92*0.02+P92*0.05,1))</f>
        <v/>
      </c>
      <c r="S92" s="46">
        <f>IF(A92="","",RANK(R92,$R$2:$R$500,0))</f>
        <v/>
      </c>
    </row>
    <row r="93" ht="22" customHeight="1">
      <c r="A93" s="48" t="n"/>
      <c r="B93" s="51" t="n"/>
      <c r="C93" s="51" t="n"/>
      <c r="D93" s="51" t="n"/>
      <c r="E93" s="51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>
        <f>IF(A93="","",ROUND(B93/10000*0.25+C93/10000*0.05+D93/10000*0.05+E93/10000*0.05+IF(F93="Yes",10,IF(F93="No",0,5))*0.10+IF(G93="Yes",10,IF(G93="No",0,5))*0.05+H93*0.10+I93*0.10+J93*0.05+K93*0.05+L93*0.05+M93*0.05+N93*0.03+O93*0.02+P93*0.05,1))</f>
        <v/>
      </c>
      <c r="S93" s="48">
        <f>IF(A93="","",RANK(R93,$R$2:$R$500,0))</f>
        <v/>
      </c>
    </row>
    <row r="94" ht="22" customHeight="1">
      <c r="A94" s="46" t="n"/>
      <c r="B94" s="50" t="n"/>
      <c r="C94" s="50" t="n"/>
      <c r="D94" s="50" t="n"/>
      <c r="E94" s="50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>
        <f>IF(A94="","",ROUND(B94/10000*0.25+C94/10000*0.05+D94/10000*0.05+E94/10000*0.05+IF(F94="Yes",10,IF(F94="No",0,5))*0.10+IF(G94="Yes",10,IF(G94="No",0,5))*0.05+H94*0.10+I94*0.10+J94*0.05+K94*0.05+L94*0.05+M94*0.05+N94*0.03+O94*0.02+P94*0.05,1))</f>
        <v/>
      </c>
      <c r="S94" s="46">
        <f>IF(A94="","",RANK(R94,$R$2:$R$500,0))</f>
        <v/>
      </c>
    </row>
    <row r="95" ht="22" customHeight="1">
      <c r="A95" s="48" t="n"/>
      <c r="B95" s="51" t="n"/>
      <c r="C95" s="51" t="n"/>
      <c r="D95" s="51" t="n"/>
      <c r="E95" s="51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>
        <f>IF(A95="","",ROUND(B95/10000*0.25+C95/10000*0.05+D95/10000*0.05+E95/10000*0.05+IF(F95="Yes",10,IF(F95="No",0,5))*0.10+IF(G95="Yes",10,IF(G95="No",0,5))*0.05+H95*0.10+I95*0.10+J95*0.05+K95*0.05+L95*0.05+M95*0.05+N95*0.03+O95*0.02+P95*0.05,1))</f>
        <v/>
      </c>
      <c r="S95" s="48">
        <f>IF(A95="","",RANK(R95,$R$2:$R$500,0))</f>
        <v/>
      </c>
    </row>
    <row r="96" ht="22" customHeight="1">
      <c r="A96" s="46" t="n"/>
      <c r="B96" s="50" t="n"/>
      <c r="C96" s="50" t="n"/>
      <c r="D96" s="50" t="n"/>
      <c r="E96" s="50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>
        <f>IF(A96="","",ROUND(B96/10000*0.25+C96/10000*0.05+D96/10000*0.05+E96/10000*0.05+IF(F96="Yes",10,IF(F96="No",0,5))*0.10+IF(G96="Yes",10,IF(G96="No",0,5))*0.05+H96*0.10+I96*0.10+J96*0.05+K96*0.05+L96*0.05+M96*0.05+N96*0.03+O96*0.02+P96*0.05,1))</f>
        <v/>
      </c>
      <c r="S96" s="46">
        <f>IF(A96="","",RANK(R96,$R$2:$R$500,0))</f>
        <v/>
      </c>
    </row>
    <row r="97" ht="22" customHeight="1">
      <c r="A97" s="48" t="n"/>
      <c r="B97" s="51" t="n"/>
      <c r="C97" s="51" t="n"/>
      <c r="D97" s="51" t="n"/>
      <c r="E97" s="51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>
        <f>IF(A97="","",ROUND(B97/10000*0.25+C97/10000*0.05+D97/10000*0.05+E97/10000*0.05+IF(F97="Yes",10,IF(F97="No",0,5))*0.10+IF(G97="Yes",10,IF(G97="No",0,5))*0.05+H97*0.10+I97*0.10+J97*0.05+K97*0.05+L97*0.05+M97*0.05+N97*0.03+O97*0.02+P97*0.05,1))</f>
        <v/>
      </c>
      <c r="S97" s="48">
        <f>IF(A97="","",RANK(R97,$R$2:$R$500,0))</f>
        <v/>
      </c>
    </row>
    <row r="98" ht="22" customHeight="1">
      <c r="A98" s="46" t="n"/>
      <c r="B98" s="50" t="n"/>
      <c r="C98" s="50" t="n"/>
      <c r="D98" s="50" t="n"/>
      <c r="E98" s="50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>
        <f>IF(A98="","",ROUND(B98/10000*0.25+C98/10000*0.05+D98/10000*0.05+E98/10000*0.05+IF(F98="Yes",10,IF(F98="No",0,5))*0.10+IF(G98="Yes",10,IF(G98="No",0,5))*0.05+H98*0.10+I98*0.10+J98*0.05+K98*0.05+L98*0.05+M98*0.05+N98*0.03+O98*0.02+P98*0.05,1))</f>
        <v/>
      </c>
      <c r="S98" s="46">
        <f>IF(A98="","",RANK(R98,$R$2:$R$500,0))</f>
        <v/>
      </c>
    </row>
    <row r="99" ht="22" customHeight="1">
      <c r="A99" s="48" t="n"/>
      <c r="B99" s="51" t="n"/>
      <c r="C99" s="51" t="n"/>
      <c r="D99" s="51" t="n"/>
      <c r="E99" s="51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>
        <f>IF(A99="","",ROUND(B99/10000*0.25+C99/10000*0.05+D99/10000*0.05+E99/10000*0.05+IF(F99="Yes",10,IF(F99="No",0,5))*0.10+IF(G99="Yes",10,IF(G99="No",0,5))*0.05+H99*0.10+I99*0.10+J99*0.05+K99*0.05+L99*0.05+M99*0.05+N99*0.03+O99*0.02+P99*0.05,1))</f>
        <v/>
      </c>
      <c r="S99" s="48">
        <f>IF(A99="","",RANK(R99,$R$2:$R$500,0))</f>
        <v/>
      </c>
    </row>
    <row r="100" ht="22" customHeight="1">
      <c r="A100" s="46" t="n"/>
      <c r="B100" s="50" t="n"/>
      <c r="C100" s="50" t="n"/>
      <c r="D100" s="50" t="n"/>
      <c r="E100" s="50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>
        <f>IF(A100="","",ROUND(B100/10000*0.25+C100/10000*0.05+D100/10000*0.05+E100/10000*0.05+IF(F100="Yes",10,IF(F100="No",0,5))*0.10+IF(G100="Yes",10,IF(G100="No",0,5))*0.05+H100*0.10+I100*0.10+J100*0.05+K100*0.05+L100*0.05+M100*0.05+N100*0.03+O100*0.02+P100*0.05,1))</f>
        <v/>
      </c>
      <c r="S100" s="46">
        <f>IF(A100="","",RANK(R100,$R$2:$R$500,0))</f>
        <v/>
      </c>
    </row>
    <row r="101" ht="22" customHeight="1">
      <c r="A101" s="48" t="n"/>
      <c r="B101" s="51" t="n"/>
      <c r="C101" s="51" t="n"/>
      <c r="D101" s="51" t="n"/>
      <c r="E101" s="51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>
        <f>IF(A101="","",ROUND(B101/10000*0.25+C101/10000*0.05+D101/10000*0.05+E101/10000*0.05+IF(F101="Yes",10,IF(F101="No",0,5))*0.10+IF(G101="Yes",10,IF(G101="No",0,5))*0.05+H101*0.10+I101*0.10+J101*0.05+K101*0.05+L101*0.05+M101*0.05+N101*0.03+O101*0.02+P101*0.05,1))</f>
        <v/>
      </c>
      <c r="S101" s="48">
        <f>IF(A101="","",RANK(R101,$R$2:$R$500,0))</f>
        <v/>
      </c>
    </row>
    <row r="102" ht="22" customHeight="1">
      <c r="A102" s="46" t="n"/>
      <c r="B102" s="50" t="n"/>
      <c r="C102" s="50" t="n"/>
      <c r="D102" s="50" t="n"/>
      <c r="E102" s="50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>
        <f>IF(A102="","",ROUND(B102/10000*0.25+C102/10000*0.05+D102/10000*0.05+E102/10000*0.05+IF(F102="Yes",10,IF(F102="No",0,5))*0.10+IF(G102="Yes",10,IF(G102="No",0,5))*0.05+H102*0.10+I102*0.10+J102*0.05+K102*0.05+L102*0.05+M102*0.05+N102*0.03+O102*0.02+P102*0.05,1))</f>
        <v/>
      </c>
      <c r="S102" s="46">
        <f>IF(A102="","",RANK(R102,$R$2:$R$500,0))</f>
        <v/>
      </c>
    </row>
    <row r="103" ht="22" customHeight="1">
      <c r="A103" s="48" t="n"/>
      <c r="B103" s="51" t="n"/>
      <c r="C103" s="51" t="n"/>
      <c r="D103" s="51" t="n"/>
      <c r="E103" s="51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>
        <f>IF(A103="","",ROUND(B103/10000*0.25+C103/10000*0.05+D103/10000*0.05+E103/10000*0.05+IF(F103="Yes",10,IF(F103="No",0,5))*0.10+IF(G103="Yes",10,IF(G103="No",0,5))*0.05+H103*0.10+I103*0.10+J103*0.05+K103*0.05+L103*0.05+M103*0.05+N103*0.03+O103*0.02+P103*0.05,1))</f>
        <v/>
      </c>
      <c r="S103" s="48">
        <f>IF(A103="","",RANK(R103,$R$2:$R$500,0))</f>
        <v/>
      </c>
    </row>
    <row r="104" ht="22" customHeight="1">
      <c r="A104" s="46" t="n"/>
      <c r="B104" s="50" t="n"/>
      <c r="C104" s="50" t="n"/>
      <c r="D104" s="50" t="n"/>
      <c r="E104" s="50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>
        <f>IF(A104="","",ROUND(B104/10000*0.25+C104/10000*0.05+D104/10000*0.05+E104/10000*0.05+IF(F104="Yes",10,IF(F104="No",0,5))*0.10+IF(G104="Yes",10,IF(G104="No",0,5))*0.05+H104*0.10+I104*0.10+J104*0.05+K104*0.05+L104*0.05+M104*0.05+N104*0.03+O104*0.02+P104*0.05,1))</f>
        <v/>
      </c>
      <c r="S104" s="46">
        <f>IF(A104="","",RANK(R104,$R$2:$R$500,0))</f>
        <v/>
      </c>
    </row>
    <row r="105" ht="22" customHeight="1">
      <c r="A105" s="48" t="n"/>
      <c r="B105" s="51" t="n"/>
      <c r="C105" s="51" t="n"/>
      <c r="D105" s="51" t="n"/>
      <c r="E105" s="51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>
        <f>IF(A105="","",ROUND(B105/10000*0.25+C105/10000*0.05+D105/10000*0.05+E105/10000*0.05+IF(F105="Yes",10,IF(F105="No",0,5))*0.10+IF(G105="Yes",10,IF(G105="No",0,5))*0.05+H105*0.10+I105*0.10+J105*0.05+K105*0.05+L105*0.05+M105*0.05+N105*0.03+O105*0.02+P105*0.05,1))</f>
        <v/>
      </c>
      <c r="S105" s="48">
        <f>IF(A105="","",RANK(R105,$R$2:$R$500,0))</f>
        <v/>
      </c>
    </row>
    <row r="106" ht="22" customHeight="1">
      <c r="A106" s="46" t="n"/>
      <c r="B106" s="50" t="n"/>
      <c r="C106" s="50" t="n"/>
      <c r="D106" s="50" t="n"/>
      <c r="E106" s="50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>
        <f>IF(A106="","",ROUND(B106/10000*0.25+C106/10000*0.05+D106/10000*0.05+E106/10000*0.05+IF(F106="Yes",10,IF(F106="No",0,5))*0.10+IF(G106="Yes",10,IF(G106="No",0,5))*0.05+H106*0.10+I106*0.10+J106*0.05+K106*0.05+L106*0.05+M106*0.05+N106*0.03+O106*0.02+P106*0.05,1))</f>
        <v/>
      </c>
      <c r="S106" s="46">
        <f>IF(A106="","",RANK(R106,$R$2:$R$500,0))</f>
        <v/>
      </c>
    </row>
    <row r="107" ht="22" customHeight="1">
      <c r="A107" s="48" t="n"/>
      <c r="B107" s="51" t="n"/>
      <c r="C107" s="51" t="n"/>
      <c r="D107" s="51" t="n"/>
      <c r="E107" s="51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>
        <f>IF(A107="","",ROUND(B107/10000*0.25+C107/10000*0.05+D107/10000*0.05+E107/10000*0.05+IF(F107="Yes",10,IF(F107="No",0,5))*0.10+IF(G107="Yes",10,IF(G107="No",0,5))*0.05+H107*0.10+I107*0.10+J107*0.05+K107*0.05+L107*0.05+M107*0.05+N107*0.03+O107*0.02+P107*0.05,1))</f>
        <v/>
      </c>
      <c r="S107" s="48">
        <f>IF(A107="","",RANK(R107,$R$2:$R$500,0))</f>
        <v/>
      </c>
    </row>
    <row r="108" ht="22" customHeight="1">
      <c r="A108" s="46" t="n"/>
      <c r="B108" s="50" t="n"/>
      <c r="C108" s="50" t="n"/>
      <c r="D108" s="50" t="n"/>
      <c r="E108" s="50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>
        <f>IF(A108="","",ROUND(B108/10000*0.25+C108/10000*0.05+D108/10000*0.05+E108/10000*0.05+IF(F108="Yes",10,IF(F108="No",0,5))*0.10+IF(G108="Yes",10,IF(G108="No",0,5))*0.05+H108*0.10+I108*0.10+J108*0.05+K108*0.05+L108*0.05+M108*0.05+N108*0.03+O108*0.02+P108*0.05,1))</f>
        <v/>
      </c>
      <c r="S108" s="46">
        <f>IF(A108="","",RANK(R108,$R$2:$R$500,0))</f>
        <v/>
      </c>
    </row>
    <row r="109" ht="22" customHeight="1">
      <c r="A109" s="48" t="n"/>
      <c r="B109" s="51" t="n"/>
      <c r="C109" s="51" t="n"/>
      <c r="D109" s="51" t="n"/>
      <c r="E109" s="51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>
        <f>IF(A109="","",ROUND(B109/10000*0.25+C109/10000*0.05+D109/10000*0.05+E109/10000*0.05+IF(F109="Yes",10,IF(F109="No",0,5))*0.10+IF(G109="Yes",10,IF(G109="No",0,5))*0.05+H109*0.10+I109*0.10+J109*0.05+K109*0.05+L109*0.05+M109*0.05+N109*0.03+O109*0.02+P109*0.05,1))</f>
        <v/>
      </c>
      <c r="S109" s="48">
        <f>IF(A109="","",RANK(R109,$R$2:$R$500,0))</f>
        <v/>
      </c>
    </row>
    <row r="110" ht="22" customHeight="1">
      <c r="A110" s="46" t="n"/>
      <c r="B110" s="50" t="n"/>
      <c r="C110" s="50" t="n"/>
      <c r="D110" s="50" t="n"/>
      <c r="E110" s="50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>
        <f>IF(A110="","",ROUND(B110/10000*0.25+C110/10000*0.05+D110/10000*0.05+E110/10000*0.05+IF(F110="Yes",10,IF(F110="No",0,5))*0.10+IF(G110="Yes",10,IF(G110="No",0,5))*0.05+H110*0.10+I110*0.10+J110*0.05+K110*0.05+L110*0.05+M110*0.05+N110*0.03+O110*0.02+P110*0.05,1))</f>
        <v/>
      </c>
      <c r="S110" s="46">
        <f>IF(A110="","",RANK(R110,$R$2:$R$500,0))</f>
        <v/>
      </c>
    </row>
    <row r="111" ht="22" customHeight="1">
      <c r="A111" s="48" t="n"/>
      <c r="B111" s="51" t="n"/>
      <c r="C111" s="51" t="n"/>
      <c r="D111" s="51" t="n"/>
      <c r="E111" s="51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>
        <f>IF(A111="","",ROUND(B111/10000*0.25+C111/10000*0.05+D111/10000*0.05+E111/10000*0.05+IF(F111="Yes",10,IF(F111="No",0,5))*0.10+IF(G111="Yes",10,IF(G111="No",0,5))*0.05+H111*0.10+I111*0.10+J111*0.05+K111*0.05+L111*0.05+M111*0.05+N111*0.03+O111*0.02+P111*0.05,1))</f>
        <v/>
      </c>
      <c r="S111" s="48">
        <f>IF(A111="","",RANK(R111,$R$2:$R$500,0))</f>
        <v/>
      </c>
    </row>
    <row r="112" ht="22" customHeight="1">
      <c r="A112" s="46" t="n"/>
      <c r="B112" s="50" t="n"/>
      <c r="C112" s="50" t="n"/>
      <c r="D112" s="50" t="n"/>
      <c r="E112" s="50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>
        <f>IF(A112="","",ROUND(B112/10000*0.25+C112/10000*0.05+D112/10000*0.05+E112/10000*0.05+IF(F112="Yes",10,IF(F112="No",0,5))*0.10+IF(G112="Yes",10,IF(G112="No",0,5))*0.05+H112*0.10+I112*0.10+J112*0.05+K112*0.05+L112*0.05+M112*0.05+N112*0.03+O112*0.02+P112*0.05,1))</f>
        <v/>
      </c>
      <c r="S112" s="46">
        <f>IF(A112="","",RANK(R112,$R$2:$R$500,0))</f>
        <v/>
      </c>
    </row>
    <row r="113" ht="22" customHeight="1">
      <c r="A113" s="48" t="n"/>
      <c r="B113" s="51" t="n"/>
      <c r="C113" s="51" t="n"/>
      <c r="D113" s="51" t="n"/>
      <c r="E113" s="51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>
        <f>IF(A113="","",ROUND(B113/10000*0.25+C113/10000*0.05+D113/10000*0.05+E113/10000*0.05+IF(F113="Yes",10,IF(F113="No",0,5))*0.10+IF(G113="Yes",10,IF(G113="No",0,5))*0.05+H113*0.10+I113*0.10+J113*0.05+K113*0.05+L113*0.05+M113*0.05+N113*0.03+O113*0.02+P113*0.05,1))</f>
        <v/>
      </c>
      <c r="S113" s="48">
        <f>IF(A113="","",RANK(R113,$R$2:$R$500,0))</f>
        <v/>
      </c>
    </row>
    <row r="114" ht="22" customHeight="1">
      <c r="A114" s="46" t="n"/>
      <c r="B114" s="50" t="n"/>
      <c r="C114" s="50" t="n"/>
      <c r="D114" s="50" t="n"/>
      <c r="E114" s="50" t="n"/>
      <c r="F114" s="46" t="n"/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>
        <f>IF(A114="","",ROUND(B114/10000*0.25+C114/10000*0.05+D114/10000*0.05+E114/10000*0.05+IF(F114="Yes",10,IF(F114="No",0,5))*0.10+IF(G114="Yes",10,IF(G114="No",0,5))*0.05+H114*0.10+I114*0.10+J114*0.05+K114*0.05+L114*0.05+M114*0.05+N114*0.03+O114*0.02+P114*0.05,1))</f>
        <v/>
      </c>
      <c r="S114" s="46">
        <f>IF(A114="","",RANK(R114,$R$2:$R$500,0))</f>
        <v/>
      </c>
    </row>
    <row r="115" ht="22" customHeight="1">
      <c r="A115" s="48" t="n"/>
      <c r="B115" s="51" t="n"/>
      <c r="C115" s="51" t="n"/>
      <c r="D115" s="51" t="n"/>
      <c r="E115" s="51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>
        <f>IF(A115="","",ROUND(B115/10000*0.25+C115/10000*0.05+D115/10000*0.05+E115/10000*0.05+IF(F115="Yes",10,IF(F115="No",0,5))*0.10+IF(G115="Yes",10,IF(G115="No",0,5))*0.05+H115*0.10+I115*0.10+J115*0.05+K115*0.05+L115*0.05+M115*0.05+N115*0.03+O115*0.02+P115*0.05,1))</f>
        <v/>
      </c>
      <c r="S115" s="48">
        <f>IF(A115="","",RANK(R115,$R$2:$R$500,0))</f>
        <v/>
      </c>
    </row>
    <row r="116" ht="22" customHeight="1">
      <c r="A116" s="46" t="n"/>
      <c r="B116" s="50" t="n"/>
      <c r="C116" s="50" t="n"/>
      <c r="D116" s="50" t="n"/>
      <c r="E116" s="50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>
        <f>IF(A116="","",ROUND(B116/10000*0.25+C116/10000*0.05+D116/10000*0.05+E116/10000*0.05+IF(F116="Yes",10,IF(F116="No",0,5))*0.10+IF(G116="Yes",10,IF(G116="No",0,5))*0.05+H116*0.10+I116*0.10+J116*0.05+K116*0.05+L116*0.05+M116*0.05+N116*0.03+O116*0.02+P116*0.05,1))</f>
        <v/>
      </c>
      <c r="S116" s="46">
        <f>IF(A116="","",RANK(R116,$R$2:$R$500,0))</f>
        <v/>
      </c>
    </row>
    <row r="117" ht="22" customHeight="1">
      <c r="A117" s="48" t="n"/>
      <c r="B117" s="51" t="n"/>
      <c r="C117" s="51" t="n"/>
      <c r="D117" s="51" t="n"/>
      <c r="E117" s="51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>
        <f>IF(A117="","",ROUND(B117/10000*0.25+C117/10000*0.05+D117/10000*0.05+E117/10000*0.05+IF(F117="Yes",10,IF(F117="No",0,5))*0.10+IF(G117="Yes",10,IF(G117="No",0,5))*0.05+H117*0.10+I117*0.10+J117*0.05+K117*0.05+L117*0.05+M117*0.05+N117*0.03+O117*0.02+P117*0.05,1))</f>
        <v/>
      </c>
      <c r="S117" s="48">
        <f>IF(A117="","",RANK(R117,$R$2:$R$500,0))</f>
        <v/>
      </c>
    </row>
    <row r="118" ht="22" customHeight="1">
      <c r="A118" s="46" t="n"/>
      <c r="B118" s="50" t="n"/>
      <c r="C118" s="50" t="n"/>
      <c r="D118" s="50" t="n"/>
      <c r="E118" s="50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>
        <f>IF(A118="","",ROUND(B118/10000*0.25+C118/10000*0.05+D118/10000*0.05+E118/10000*0.05+IF(F118="Yes",10,IF(F118="No",0,5))*0.10+IF(G118="Yes",10,IF(G118="No",0,5))*0.05+H118*0.10+I118*0.10+J118*0.05+K118*0.05+L118*0.05+M118*0.05+N118*0.03+O118*0.02+P118*0.05,1))</f>
        <v/>
      </c>
      <c r="S118" s="46">
        <f>IF(A118="","",RANK(R118,$R$2:$R$500,0))</f>
        <v/>
      </c>
    </row>
    <row r="119" ht="22" customHeight="1">
      <c r="A119" s="48" t="n"/>
      <c r="B119" s="51" t="n"/>
      <c r="C119" s="51" t="n"/>
      <c r="D119" s="51" t="n"/>
      <c r="E119" s="51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>
        <f>IF(A119="","",ROUND(B119/10000*0.25+C119/10000*0.05+D119/10000*0.05+E119/10000*0.05+IF(F119="Yes",10,IF(F119="No",0,5))*0.10+IF(G119="Yes",10,IF(G119="No",0,5))*0.05+H119*0.10+I119*0.10+J119*0.05+K119*0.05+L119*0.05+M119*0.05+N119*0.03+O119*0.02+P119*0.05,1))</f>
        <v/>
      </c>
      <c r="S119" s="48">
        <f>IF(A119="","",RANK(R119,$R$2:$R$500,0))</f>
        <v/>
      </c>
    </row>
    <row r="120" ht="22" customHeight="1">
      <c r="A120" s="46" t="n"/>
      <c r="B120" s="50" t="n"/>
      <c r="C120" s="50" t="n"/>
      <c r="D120" s="50" t="n"/>
      <c r="E120" s="50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>
        <f>IF(A120="","",ROUND(B120/10000*0.25+C120/10000*0.05+D120/10000*0.05+E120/10000*0.05+IF(F120="Yes",10,IF(F120="No",0,5))*0.10+IF(G120="Yes",10,IF(G120="No",0,5))*0.05+H120*0.10+I120*0.10+J120*0.05+K120*0.05+L120*0.05+M120*0.05+N120*0.03+O120*0.02+P120*0.05,1))</f>
        <v/>
      </c>
      <c r="S120" s="46">
        <f>IF(A120="","",RANK(R120,$R$2:$R$500,0))</f>
        <v/>
      </c>
    </row>
    <row r="121" ht="22" customHeight="1">
      <c r="A121" s="48" t="n"/>
      <c r="B121" s="51" t="n"/>
      <c r="C121" s="51" t="n"/>
      <c r="D121" s="51" t="n"/>
      <c r="E121" s="51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>
        <f>IF(A121="","",ROUND(B121/10000*0.25+C121/10000*0.05+D121/10000*0.05+E121/10000*0.05+IF(F121="Yes",10,IF(F121="No",0,5))*0.10+IF(G121="Yes",10,IF(G121="No",0,5))*0.05+H121*0.10+I121*0.10+J121*0.05+K121*0.05+L121*0.05+M121*0.05+N121*0.03+O121*0.02+P121*0.05,1))</f>
        <v/>
      </c>
      <c r="S121" s="48">
        <f>IF(A121="","",RANK(R121,$R$2:$R$500,0))</f>
        <v/>
      </c>
    </row>
    <row r="122" ht="22" customHeight="1">
      <c r="A122" s="46" t="n"/>
      <c r="B122" s="50" t="n"/>
      <c r="C122" s="50" t="n"/>
      <c r="D122" s="50" t="n"/>
      <c r="E122" s="50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>
        <f>IF(A122="","",ROUND(B122/10000*0.25+C122/10000*0.05+D122/10000*0.05+E122/10000*0.05+IF(F122="Yes",10,IF(F122="No",0,5))*0.10+IF(G122="Yes",10,IF(G122="No",0,5))*0.05+H122*0.10+I122*0.10+J122*0.05+K122*0.05+L122*0.05+M122*0.05+N122*0.03+O122*0.02+P122*0.05,1))</f>
        <v/>
      </c>
      <c r="S122" s="46">
        <f>IF(A122="","",RANK(R122,$R$2:$R$500,0))</f>
        <v/>
      </c>
    </row>
    <row r="123" ht="22" customHeight="1">
      <c r="A123" s="48" t="n"/>
      <c r="B123" s="51" t="n"/>
      <c r="C123" s="51" t="n"/>
      <c r="D123" s="51" t="n"/>
      <c r="E123" s="51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>
        <f>IF(A123="","",ROUND(B123/10000*0.25+C123/10000*0.05+D123/10000*0.05+E123/10000*0.05+IF(F123="Yes",10,IF(F123="No",0,5))*0.10+IF(G123="Yes",10,IF(G123="No",0,5))*0.05+H123*0.10+I123*0.10+J123*0.05+K123*0.05+L123*0.05+M123*0.05+N123*0.03+O123*0.02+P123*0.05,1))</f>
        <v/>
      </c>
      <c r="S123" s="48">
        <f>IF(A123="","",RANK(R123,$R$2:$R$500,0))</f>
        <v/>
      </c>
    </row>
    <row r="124" ht="22" customHeight="1">
      <c r="A124" s="46" t="n"/>
      <c r="B124" s="50" t="n"/>
      <c r="C124" s="50" t="n"/>
      <c r="D124" s="50" t="n"/>
      <c r="E124" s="50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>
        <f>IF(A124="","",ROUND(B124/10000*0.25+C124/10000*0.05+D124/10000*0.05+E124/10000*0.05+IF(F124="Yes",10,IF(F124="No",0,5))*0.10+IF(G124="Yes",10,IF(G124="No",0,5))*0.05+H124*0.10+I124*0.10+J124*0.05+K124*0.05+L124*0.05+M124*0.05+N124*0.03+O124*0.02+P124*0.05,1))</f>
        <v/>
      </c>
      <c r="S124" s="46">
        <f>IF(A124="","",RANK(R124,$R$2:$R$500,0))</f>
        <v/>
      </c>
    </row>
    <row r="125" ht="22" customHeight="1">
      <c r="A125" s="48" t="n"/>
      <c r="B125" s="51" t="n"/>
      <c r="C125" s="51" t="n"/>
      <c r="D125" s="51" t="n"/>
      <c r="E125" s="51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>
        <f>IF(A125="","",ROUND(B125/10000*0.25+C125/10000*0.05+D125/10000*0.05+E125/10000*0.05+IF(F125="Yes",10,IF(F125="No",0,5))*0.10+IF(G125="Yes",10,IF(G125="No",0,5))*0.05+H125*0.10+I125*0.10+J125*0.05+K125*0.05+L125*0.05+M125*0.05+N125*0.03+O125*0.02+P125*0.05,1))</f>
        <v/>
      </c>
      <c r="S125" s="48">
        <f>IF(A125="","",RANK(R125,$R$2:$R$500,0))</f>
        <v/>
      </c>
    </row>
    <row r="126" ht="22" customHeight="1">
      <c r="A126" s="46" t="n"/>
      <c r="B126" s="50" t="n"/>
      <c r="C126" s="50" t="n"/>
      <c r="D126" s="50" t="n"/>
      <c r="E126" s="50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>
        <f>IF(A126="","",ROUND(B126/10000*0.25+C126/10000*0.05+D126/10000*0.05+E126/10000*0.05+IF(F126="Yes",10,IF(F126="No",0,5))*0.10+IF(G126="Yes",10,IF(G126="No",0,5))*0.05+H126*0.10+I126*0.10+J126*0.05+K126*0.05+L126*0.05+M126*0.05+N126*0.03+O126*0.02+P126*0.05,1))</f>
        <v/>
      </c>
      <c r="S126" s="46">
        <f>IF(A126="","",RANK(R126,$R$2:$R$500,0))</f>
        <v/>
      </c>
    </row>
    <row r="127" ht="22" customHeight="1">
      <c r="A127" s="48" t="n"/>
      <c r="B127" s="51" t="n"/>
      <c r="C127" s="51" t="n"/>
      <c r="D127" s="51" t="n"/>
      <c r="E127" s="51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>
        <f>IF(A127="","",ROUND(B127/10000*0.25+C127/10000*0.05+D127/10000*0.05+E127/10000*0.05+IF(F127="Yes",10,IF(F127="No",0,5))*0.10+IF(G127="Yes",10,IF(G127="No",0,5))*0.05+H127*0.10+I127*0.10+J127*0.05+K127*0.05+L127*0.05+M127*0.05+N127*0.03+O127*0.02+P127*0.05,1))</f>
        <v/>
      </c>
      <c r="S127" s="48">
        <f>IF(A127="","",RANK(R127,$R$2:$R$500,0))</f>
        <v/>
      </c>
    </row>
    <row r="128" ht="22" customHeight="1">
      <c r="A128" s="46" t="n"/>
      <c r="B128" s="50" t="n"/>
      <c r="C128" s="50" t="n"/>
      <c r="D128" s="50" t="n"/>
      <c r="E128" s="50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>
        <f>IF(A128="","",ROUND(B128/10000*0.25+C128/10000*0.05+D128/10000*0.05+E128/10000*0.05+IF(F128="Yes",10,IF(F128="No",0,5))*0.10+IF(G128="Yes",10,IF(G128="No",0,5))*0.05+H128*0.10+I128*0.10+J128*0.05+K128*0.05+L128*0.05+M128*0.05+N128*0.03+O128*0.02+P128*0.05,1))</f>
        <v/>
      </c>
      <c r="S128" s="46">
        <f>IF(A128="","",RANK(R128,$R$2:$R$500,0))</f>
        <v/>
      </c>
    </row>
    <row r="129" ht="22" customHeight="1">
      <c r="A129" s="48" t="n"/>
      <c r="B129" s="51" t="n"/>
      <c r="C129" s="51" t="n"/>
      <c r="D129" s="51" t="n"/>
      <c r="E129" s="51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>
        <f>IF(A129="","",ROUND(B129/10000*0.25+C129/10000*0.05+D129/10000*0.05+E129/10000*0.05+IF(F129="Yes",10,IF(F129="No",0,5))*0.10+IF(G129="Yes",10,IF(G129="No",0,5))*0.05+H129*0.10+I129*0.10+J129*0.05+K129*0.05+L129*0.05+M129*0.05+N129*0.03+O129*0.02+P129*0.05,1))</f>
        <v/>
      </c>
      <c r="S129" s="48">
        <f>IF(A129="","",RANK(R129,$R$2:$R$500,0))</f>
        <v/>
      </c>
    </row>
    <row r="130" ht="22" customHeight="1">
      <c r="A130" s="46" t="n"/>
      <c r="B130" s="50" t="n"/>
      <c r="C130" s="50" t="n"/>
      <c r="D130" s="50" t="n"/>
      <c r="E130" s="50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>
        <f>IF(A130="","",ROUND(B130/10000*0.25+C130/10000*0.05+D130/10000*0.05+E130/10000*0.05+IF(F130="Yes",10,IF(F130="No",0,5))*0.10+IF(G130="Yes",10,IF(G130="No",0,5))*0.05+H130*0.10+I130*0.10+J130*0.05+K130*0.05+L130*0.05+M130*0.05+N130*0.03+O130*0.02+P130*0.05,1))</f>
        <v/>
      </c>
      <c r="S130" s="46">
        <f>IF(A130="","",RANK(R130,$R$2:$R$500,0))</f>
        <v/>
      </c>
    </row>
    <row r="131" ht="22" customHeight="1">
      <c r="A131" s="48" t="n"/>
      <c r="B131" s="51" t="n"/>
      <c r="C131" s="51" t="n"/>
      <c r="D131" s="51" t="n"/>
      <c r="E131" s="51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>
        <f>IF(A131="","",ROUND(B131/10000*0.25+C131/10000*0.05+D131/10000*0.05+E131/10000*0.05+IF(F131="Yes",10,IF(F131="No",0,5))*0.10+IF(G131="Yes",10,IF(G131="No",0,5))*0.05+H131*0.10+I131*0.10+J131*0.05+K131*0.05+L131*0.05+M131*0.05+N131*0.03+O131*0.02+P131*0.05,1))</f>
        <v/>
      </c>
      <c r="S131" s="48">
        <f>IF(A131="","",RANK(R131,$R$2:$R$500,0))</f>
        <v/>
      </c>
    </row>
    <row r="132" ht="22" customHeight="1">
      <c r="A132" s="46" t="n"/>
      <c r="B132" s="50" t="n"/>
      <c r="C132" s="50" t="n"/>
      <c r="D132" s="50" t="n"/>
      <c r="E132" s="50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>
        <f>IF(A132="","",ROUND(B132/10000*0.25+C132/10000*0.05+D132/10000*0.05+E132/10000*0.05+IF(F132="Yes",10,IF(F132="No",0,5))*0.10+IF(G132="Yes",10,IF(G132="No",0,5))*0.05+H132*0.10+I132*0.10+J132*0.05+K132*0.05+L132*0.05+M132*0.05+N132*0.03+O132*0.02+P132*0.05,1))</f>
        <v/>
      </c>
      <c r="S132" s="46">
        <f>IF(A132="","",RANK(R132,$R$2:$R$500,0))</f>
        <v/>
      </c>
    </row>
    <row r="133" ht="22" customHeight="1">
      <c r="A133" s="48" t="n"/>
      <c r="B133" s="51" t="n"/>
      <c r="C133" s="51" t="n"/>
      <c r="D133" s="51" t="n"/>
      <c r="E133" s="51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>
        <f>IF(A133="","",ROUND(B133/10000*0.25+C133/10000*0.05+D133/10000*0.05+E133/10000*0.05+IF(F133="Yes",10,IF(F133="No",0,5))*0.10+IF(G133="Yes",10,IF(G133="No",0,5))*0.05+H133*0.10+I133*0.10+J133*0.05+K133*0.05+L133*0.05+M133*0.05+N133*0.03+O133*0.02+P133*0.05,1))</f>
        <v/>
      </c>
      <c r="S133" s="48">
        <f>IF(A133="","",RANK(R133,$R$2:$R$500,0))</f>
        <v/>
      </c>
    </row>
    <row r="134" ht="22" customHeight="1">
      <c r="A134" s="46" t="n"/>
      <c r="B134" s="50" t="n"/>
      <c r="C134" s="50" t="n"/>
      <c r="D134" s="50" t="n"/>
      <c r="E134" s="50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>
        <f>IF(A134="","",ROUND(B134/10000*0.25+C134/10000*0.05+D134/10000*0.05+E134/10000*0.05+IF(F134="Yes",10,IF(F134="No",0,5))*0.10+IF(G134="Yes",10,IF(G134="No",0,5))*0.05+H134*0.10+I134*0.10+J134*0.05+K134*0.05+L134*0.05+M134*0.05+N134*0.03+O134*0.02+P134*0.05,1))</f>
        <v/>
      </c>
      <c r="S134" s="46">
        <f>IF(A134="","",RANK(R134,$R$2:$R$500,0))</f>
        <v/>
      </c>
    </row>
    <row r="135" ht="22" customHeight="1">
      <c r="A135" s="48" t="n"/>
      <c r="B135" s="51" t="n"/>
      <c r="C135" s="51" t="n"/>
      <c r="D135" s="51" t="n"/>
      <c r="E135" s="51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>
        <f>IF(A135="","",ROUND(B135/10000*0.25+C135/10000*0.05+D135/10000*0.05+E135/10000*0.05+IF(F135="Yes",10,IF(F135="No",0,5))*0.10+IF(G135="Yes",10,IF(G135="No",0,5))*0.05+H135*0.10+I135*0.10+J135*0.05+K135*0.05+L135*0.05+M135*0.05+N135*0.03+O135*0.02+P135*0.05,1))</f>
        <v/>
      </c>
      <c r="S135" s="48">
        <f>IF(A135="","",RANK(R135,$R$2:$R$500,0))</f>
        <v/>
      </c>
    </row>
    <row r="136" ht="22" customHeight="1">
      <c r="A136" s="46" t="n"/>
      <c r="B136" s="50" t="n"/>
      <c r="C136" s="50" t="n"/>
      <c r="D136" s="50" t="n"/>
      <c r="E136" s="50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>
        <f>IF(A136="","",ROUND(B136/10000*0.25+C136/10000*0.05+D136/10000*0.05+E136/10000*0.05+IF(F136="Yes",10,IF(F136="No",0,5))*0.10+IF(G136="Yes",10,IF(G136="No",0,5))*0.05+H136*0.10+I136*0.10+J136*0.05+K136*0.05+L136*0.05+M136*0.05+N136*0.03+O136*0.02+P136*0.05,1))</f>
        <v/>
      </c>
      <c r="S136" s="46">
        <f>IF(A136="","",RANK(R136,$R$2:$R$500,0))</f>
        <v/>
      </c>
    </row>
    <row r="137" ht="22" customHeight="1">
      <c r="A137" s="48" t="n"/>
      <c r="B137" s="51" t="n"/>
      <c r="C137" s="51" t="n"/>
      <c r="D137" s="51" t="n"/>
      <c r="E137" s="51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>
        <f>IF(A137="","",ROUND(B137/10000*0.25+C137/10000*0.05+D137/10000*0.05+E137/10000*0.05+IF(F137="Yes",10,IF(F137="No",0,5))*0.10+IF(G137="Yes",10,IF(G137="No",0,5))*0.05+H137*0.10+I137*0.10+J137*0.05+K137*0.05+L137*0.05+M137*0.05+N137*0.03+O137*0.02+P137*0.05,1))</f>
        <v/>
      </c>
      <c r="S137" s="48">
        <f>IF(A137="","",RANK(R137,$R$2:$R$500,0))</f>
        <v/>
      </c>
    </row>
    <row r="138" ht="22" customHeight="1">
      <c r="A138" s="46" t="n"/>
      <c r="B138" s="50" t="n"/>
      <c r="C138" s="50" t="n"/>
      <c r="D138" s="50" t="n"/>
      <c r="E138" s="50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>
        <f>IF(A138="","",ROUND(B138/10000*0.25+C138/10000*0.05+D138/10000*0.05+E138/10000*0.05+IF(F138="Yes",10,IF(F138="No",0,5))*0.10+IF(G138="Yes",10,IF(G138="No",0,5))*0.05+H138*0.10+I138*0.10+J138*0.05+K138*0.05+L138*0.05+M138*0.05+N138*0.03+O138*0.02+P138*0.05,1))</f>
        <v/>
      </c>
      <c r="S138" s="46">
        <f>IF(A138="","",RANK(R138,$R$2:$R$500,0))</f>
        <v/>
      </c>
    </row>
    <row r="139" ht="22" customHeight="1">
      <c r="A139" s="48" t="n"/>
      <c r="B139" s="51" t="n"/>
      <c r="C139" s="51" t="n"/>
      <c r="D139" s="51" t="n"/>
      <c r="E139" s="51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>
        <f>IF(A139="","",ROUND(B139/10000*0.25+C139/10000*0.05+D139/10000*0.05+E139/10000*0.05+IF(F139="Yes",10,IF(F139="No",0,5))*0.10+IF(G139="Yes",10,IF(G139="No",0,5))*0.05+H139*0.10+I139*0.10+J139*0.05+K139*0.05+L139*0.05+M139*0.05+N139*0.03+O139*0.02+P139*0.05,1))</f>
        <v/>
      </c>
      <c r="S139" s="48">
        <f>IF(A139="","",RANK(R139,$R$2:$R$500,0))</f>
        <v/>
      </c>
    </row>
    <row r="140" ht="22" customHeight="1">
      <c r="A140" s="46" t="n"/>
      <c r="B140" s="50" t="n"/>
      <c r="C140" s="50" t="n"/>
      <c r="D140" s="50" t="n"/>
      <c r="E140" s="50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>
        <f>IF(A140="","",ROUND(B140/10000*0.25+C140/10000*0.05+D140/10000*0.05+E140/10000*0.05+IF(F140="Yes",10,IF(F140="No",0,5))*0.10+IF(G140="Yes",10,IF(G140="No",0,5))*0.05+H140*0.10+I140*0.10+J140*0.05+K140*0.05+L140*0.05+M140*0.05+N140*0.03+O140*0.02+P140*0.05,1))</f>
        <v/>
      </c>
      <c r="S140" s="46">
        <f>IF(A140="","",RANK(R140,$R$2:$R$500,0))</f>
        <v/>
      </c>
    </row>
    <row r="141" ht="22" customHeight="1">
      <c r="A141" s="48" t="n"/>
      <c r="B141" s="51" t="n"/>
      <c r="C141" s="51" t="n"/>
      <c r="D141" s="51" t="n"/>
      <c r="E141" s="51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>
        <f>IF(A141="","",ROUND(B141/10000*0.25+C141/10000*0.05+D141/10000*0.05+E141/10000*0.05+IF(F141="Yes",10,IF(F141="No",0,5))*0.10+IF(G141="Yes",10,IF(G141="No",0,5))*0.05+H141*0.10+I141*0.10+J141*0.05+K141*0.05+L141*0.05+M141*0.05+N141*0.03+O141*0.02+P141*0.05,1))</f>
        <v/>
      </c>
      <c r="S141" s="48">
        <f>IF(A141="","",RANK(R141,$R$2:$R$500,0))</f>
        <v/>
      </c>
    </row>
    <row r="142" ht="22" customHeight="1">
      <c r="A142" s="46" t="n"/>
      <c r="B142" s="50" t="n"/>
      <c r="C142" s="50" t="n"/>
      <c r="D142" s="50" t="n"/>
      <c r="E142" s="50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>
        <f>IF(A142="","",ROUND(B142/10000*0.25+C142/10000*0.05+D142/10000*0.05+E142/10000*0.05+IF(F142="Yes",10,IF(F142="No",0,5))*0.10+IF(G142="Yes",10,IF(G142="No",0,5))*0.05+H142*0.10+I142*0.10+J142*0.05+K142*0.05+L142*0.05+M142*0.05+N142*0.03+O142*0.02+P142*0.05,1))</f>
        <v/>
      </c>
      <c r="S142" s="46">
        <f>IF(A142="","",RANK(R142,$R$2:$R$500,0))</f>
        <v/>
      </c>
    </row>
    <row r="143" ht="22" customHeight="1">
      <c r="A143" s="48" t="n"/>
      <c r="B143" s="51" t="n"/>
      <c r="C143" s="51" t="n"/>
      <c r="D143" s="51" t="n"/>
      <c r="E143" s="51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>
        <f>IF(A143="","",ROUND(B143/10000*0.25+C143/10000*0.05+D143/10000*0.05+E143/10000*0.05+IF(F143="Yes",10,IF(F143="No",0,5))*0.10+IF(G143="Yes",10,IF(G143="No",0,5))*0.05+H143*0.10+I143*0.10+J143*0.05+K143*0.05+L143*0.05+M143*0.05+N143*0.03+O143*0.02+P143*0.05,1))</f>
        <v/>
      </c>
      <c r="S143" s="48">
        <f>IF(A143="","",RANK(R143,$R$2:$R$500,0))</f>
        <v/>
      </c>
    </row>
    <row r="144" ht="22" customHeight="1">
      <c r="A144" s="46" t="n"/>
      <c r="B144" s="50" t="n"/>
      <c r="C144" s="50" t="n"/>
      <c r="D144" s="50" t="n"/>
      <c r="E144" s="50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>
        <f>IF(A144="","",ROUND(B144/10000*0.25+C144/10000*0.05+D144/10000*0.05+E144/10000*0.05+IF(F144="Yes",10,IF(F144="No",0,5))*0.10+IF(G144="Yes",10,IF(G144="No",0,5))*0.05+H144*0.10+I144*0.10+J144*0.05+K144*0.05+L144*0.05+M144*0.05+N144*0.03+O144*0.02+P144*0.05,1))</f>
        <v/>
      </c>
      <c r="S144" s="46">
        <f>IF(A144="","",RANK(R144,$R$2:$R$500,0))</f>
        <v/>
      </c>
    </row>
    <row r="145" ht="22" customHeight="1">
      <c r="A145" s="48" t="n"/>
      <c r="B145" s="51" t="n"/>
      <c r="C145" s="51" t="n"/>
      <c r="D145" s="51" t="n"/>
      <c r="E145" s="51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>
        <f>IF(A145="","",ROUND(B145/10000*0.25+C145/10000*0.05+D145/10000*0.05+E145/10000*0.05+IF(F145="Yes",10,IF(F145="No",0,5))*0.10+IF(G145="Yes",10,IF(G145="No",0,5))*0.05+H145*0.10+I145*0.10+J145*0.05+K145*0.05+L145*0.05+M145*0.05+N145*0.03+O145*0.02+P145*0.05,1))</f>
        <v/>
      </c>
      <c r="S145" s="48">
        <f>IF(A145="","",RANK(R145,$R$2:$R$500,0))</f>
        <v/>
      </c>
    </row>
    <row r="146" ht="22" customHeight="1">
      <c r="A146" s="46" t="n"/>
      <c r="B146" s="50" t="n"/>
      <c r="C146" s="50" t="n"/>
      <c r="D146" s="50" t="n"/>
      <c r="E146" s="50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>
        <f>IF(A146="","",ROUND(B146/10000*0.25+C146/10000*0.05+D146/10000*0.05+E146/10000*0.05+IF(F146="Yes",10,IF(F146="No",0,5))*0.10+IF(G146="Yes",10,IF(G146="No",0,5))*0.05+H146*0.10+I146*0.10+J146*0.05+K146*0.05+L146*0.05+M146*0.05+N146*0.03+O146*0.02+P146*0.05,1))</f>
        <v/>
      </c>
      <c r="S146" s="46">
        <f>IF(A146="","",RANK(R146,$R$2:$R$500,0))</f>
        <v/>
      </c>
    </row>
    <row r="147" ht="22" customHeight="1">
      <c r="A147" s="48" t="n"/>
      <c r="B147" s="51" t="n"/>
      <c r="C147" s="51" t="n"/>
      <c r="D147" s="51" t="n"/>
      <c r="E147" s="51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>
        <f>IF(A147="","",ROUND(B147/10000*0.25+C147/10000*0.05+D147/10000*0.05+E147/10000*0.05+IF(F147="Yes",10,IF(F147="No",0,5))*0.10+IF(G147="Yes",10,IF(G147="No",0,5))*0.05+H147*0.10+I147*0.10+J147*0.05+K147*0.05+L147*0.05+M147*0.05+N147*0.03+O147*0.02+P147*0.05,1))</f>
        <v/>
      </c>
      <c r="S147" s="48">
        <f>IF(A147="","",RANK(R147,$R$2:$R$500,0))</f>
        <v/>
      </c>
    </row>
    <row r="148" ht="22" customHeight="1">
      <c r="A148" s="46" t="n"/>
      <c r="B148" s="50" t="n"/>
      <c r="C148" s="50" t="n"/>
      <c r="D148" s="50" t="n"/>
      <c r="E148" s="50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>
        <f>IF(A148="","",ROUND(B148/10000*0.25+C148/10000*0.05+D148/10000*0.05+E148/10000*0.05+IF(F148="Yes",10,IF(F148="No",0,5))*0.10+IF(G148="Yes",10,IF(G148="No",0,5))*0.05+H148*0.10+I148*0.10+J148*0.05+K148*0.05+L148*0.05+M148*0.05+N148*0.03+O148*0.02+P148*0.05,1))</f>
        <v/>
      </c>
      <c r="S148" s="46">
        <f>IF(A148="","",RANK(R148,$R$2:$R$500,0))</f>
        <v/>
      </c>
    </row>
    <row r="149" ht="22" customHeight="1">
      <c r="A149" s="48" t="n"/>
      <c r="B149" s="51" t="n"/>
      <c r="C149" s="51" t="n"/>
      <c r="D149" s="51" t="n"/>
      <c r="E149" s="51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>
        <f>IF(A149="","",ROUND(B149/10000*0.25+C149/10000*0.05+D149/10000*0.05+E149/10000*0.05+IF(F149="Yes",10,IF(F149="No",0,5))*0.10+IF(G149="Yes",10,IF(G149="No",0,5))*0.05+H149*0.10+I149*0.10+J149*0.05+K149*0.05+L149*0.05+M149*0.05+N149*0.03+O149*0.02+P149*0.05,1))</f>
        <v/>
      </c>
      <c r="S149" s="48">
        <f>IF(A149="","",RANK(R149,$R$2:$R$500,0))</f>
        <v/>
      </c>
    </row>
    <row r="150" ht="22" customHeight="1">
      <c r="A150" s="46" t="n"/>
      <c r="B150" s="50" t="n"/>
      <c r="C150" s="50" t="n"/>
      <c r="D150" s="50" t="n"/>
      <c r="E150" s="50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  <c r="O150" s="46" t="n"/>
      <c r="P150" s="46" t="n"/>
      <c r="Q150" s="46" t="n"/>
      <c r="R150" s="46">
        <f>IF(A150="","",ROUND(B150/10000*0.25+C150/10000*0.05+D150/10000*0.05+E150/10000*0.05+IF(F150="Yes",10,IF(F150="No",0,5))*0.10+IF(G150="Yes",10,IF(G150="No",0,5))*0.05+H150*0.10+I150*0.10+J150*0.05+K150*0.05+L150*0.05+M150*0.05+N150*0.03+O150*0.02+P150*0.05,1))</f>
        <v/>
      </c>
      <c r="S150" s="46">
        <f>IF(A150="","",RANK(R150,$R$2:$R$500,0))</f>
        <v/>
      </c>
    </row>
    <row r="151" ht="22" customHeight="1">
      <c r="A151" s="48" t="n"/>
      <c r="B151" s="51" t="n"/>
      <c r="C151" s="51" t="n"/>
      <c r="D151" s="51" t="n"/>
      <c r="E151" s="51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>
        <f>IF(A151="","",ROUND(B151/10000*0.25+C151/10000*0.05+D151/10000*0.05+E151/10000*0.05+IF(F151="Yes",10,IF(F151="No",0,5))*0.10+IF(G151="Yes",10,IF(G151="No",0,5))*0.05+H151*0.10+I151*0.10+J151*0.05+K151*0.05+L151*0.05+M151*0.05+N151*0.03+O151*0.02+P151*0.05,1))</f>
        <v/>
      </c>
      <c r="S151" s="48">
        <f>IF(A151="","",RANK(R151,$R$2:$R$500,0))</f>
        <v/>
      </c>
    </row>
    <row r="152" ht="22" customHeight="1">
      <c r="A152" s="46" t="n"/>
      <c r="B152" s="50" t="n"/>
      <c r="C152" s="50" t="n"/>
      <c r="D152" s="50" t="n"/>
      <c r="E152" s="50" t="n"/>
      <c r="F152" s="46" t="n"/>
      <c r="G152" s="46" t="n"/>
      <c r="H152" s="46" t="n"/>
      <c r="I152" s="46" t="n"/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>
        <f>IF(A152="","",ROUND(B152/10000*0.25+C152/10000*0.05+D152/10000*0.05+E152/10000*0.05+IF(F152="Yes",10,IF(F152="No",0,5))*0.10+IF(G152="Yes",10,IF(G152="No",0,5))*0.05+H152*0.10+I152*0.10+J152*0.05+K152*0.05+L152*0.05+M152*0.05+N152*0.03+O152*0.02+P152*0.05,1))</f>
        <v/>
      </c>
      <c r="S152" s="46">
        <f>IF(A152="","",RANK(R152,$R$2:$R$500,0))</f>
        <v/>
      </c>
    </row>
    <row r="153" ht="22" customHeight="1">
      <c r="A153" s="48" t="n"/>
      <c r="B153" s="51" t="n"/>
      <c r="C153" s="51" t="n"/>
      <c r="D153" s="51" t="n"/>
      <c r="E153" s="51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>
        <f>IF(A153="","",ROUND(B153/10000*0.25+C153/10000*0.05+D153/10000*0.05+E153/10000*0.05+IF(F153="Yes",10,IF(F153="No",0,5))*0.10+IF(G153="Yes",10,IF(G153="No",0,5))*0.05+H153*0.10+I153*0.10+J153*0.05+K153*0.05+L153*0.05+M153*0.05+N153*0.03+O153*0.02+P153*0.05,1))</f>
        <v/>
      </c>
      <c r="S153" s="48">
        <f>IF(A153="","",RANK(R153,$R$2:$R$500,0))</f>
        <v/>
      </c>
    </row>
    <row r="154" ht="22" customHeight="1">
      <c r="A154" s="46" t="n"/>
      <c r="B154" s="50" t="n"/>
      <c r="C154" s="50" t="n"/>
      <c r="D154" s="50" t="n"/>
      <c r="E154" s="50" t="n"/>
      <c r="F154" s="46" t="n"/>
      <c r="G154" s="46" t="n"/>
      <c r="H154" s="46" t="n"/>
      <c r="I154" s="46" t="n"/>
      <c r="J154" s="46" t="n"/>
      <c r="K154" s="46" t="n"/>
      <c r="L154" s="46" t="n"/>
      <c r="M154" s="46" t="n"/>
      <c r="N154" s="46" t="n"/>
      <c r="O154" s="46" t="n"/>
      <c r="P154" s="46" t="n"/>
      <c r="Q154" s="46" t="n"/>
      <c r="R154" s="46">
        <f>IF(A154="","",ROUND(B154/10000*0.25+C154/10000*0.05+D154/10000*0.05+E154/10000*0.05+IF(F154="Yes",10,IF(F154="No",0,5))*0.10+IF(G154="Yes",10,IF(G154="No",0,5))*0.05+H154*0.10+I154*0.10+J154*0.05+K154*0.05+L154*0.05+M154*0.05+N154*0.03+O154*0.02+P154*0.05,1))</f>
        <v/>
      </c>
      <c r="S154" s="46">
        <f>IF(A154="","",RANK(R154,$R$2:$R$500,0))</f>
        <v/>
      </c>
    </row>
    <row r="155" ht="22" customHeight="1">
      <c r="A155" s="48" t="n"/>
      <c r="B155" s="51" t="n"/>
      <c r="C155" s="51" t="n"/>
      <c r="D155" s="51" t="n"/>
      <c r="E155" s="51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>
        <f>IF(A155="","",ROUND(B155/10000*0.25+C155/10000*0.05+D155/10000*0.05+E155/10000*0.05+IF(F155="Yes",10,IF(F155="No",0,5))*0.10+IF(G155="Yes",10,IF(G155="No",0,5))*0.05+H155*0.10+I155*0.10+J155*0.05+K155*0.05+L155*0.05+M155*0.05+N155*0.03+O155*0.02+P155*0.05,1))</f>
        <v/>
      </c>
      <c r="S155" s="48">
        <f>IF(A155="","",RANK(R155,$R$2:$R$500,0))</f>
        <v/>
      </c>
    </row>
    <row r="156" ht="22" customHeight="1">
      <c r="A156" s="46" t="n"/>
      <c r="B156" s="50" t="n"/>
      <c r="C156" s="50" t="n"/>
      <c r="D156" s="50" t="n"/>
      <c r="E156" s="50" t="n"/>
      <c r="F156" s="46" t="n"/>
      <c r="G156" s="46" t="n"/>
      <c r="H156" s="46" t="n"/>
      <c r="I156" s="46" t="n"/>
      <c r="J156" s="46" t="n"/>
      <c r="K156" s="46" t="n"/>
      <c r="L156" s="46" t="n"/>
      <c r="M156" s="46" t="n"/>
      <c r="N156" s="46" t="n"/>
      <c r="O156" s="46" t="n"/>
      <c r="P156" s="46" t="n"/>
      <c r="Q156" s="46" t="n"/>
      <c r="R156" s="46">
        <f>IF(A156="","",ROUND(B156/10000*0.25+C156/10000*0.05+D156/10000*0.05+E156/10000*0.05+IF(F156="Yes",10,IF(F156="No",0,5))*0.10+IF(G156="Yes",10,IF(G156="No",0,5))*0.05+H156*0.10+I156*0.10+J156*0.05+K156*0.05+L156*0.05+M156*0.05+N156*0.03+O156*0.02+P156*0.05,1))</f>
        <v/>
      </c>
      <c r="S156" s="46">
        <f>IF(A156="","",RANK(R156,$R$2:$R$500,0))</f>
        <v/>
      </c>
    </row>
    <row r="157" ht="22" customHeight="1">
      <c r="A157" s="48" t="n"/>
      <c r="B157" s="51" t="n"/>
      <c r="C157" s="51" t="n"/>
      <c r="D157" s="51" t="n"/>
      <c r="E157" s="51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>
        <f>IF(A157="","",ROUND(B157/10000*0.25+C157/10000*0.05+D157/10000*0.05+E157/10000*0.05+IF(F157="Yes",10,IF(F157="No",0,5))*0.10+IF(G157="Yes",10,IF(G157="No",0,5))*0.05+H157*0.10+I157*0.10+J157*0.05+K157*0.05+L157*0.05+M157*0.05+N157*0.03+O157*0.02+P157*0.05,1))</f>
        <v/>
      </c>
      <c r="S157" s="48">
        <f>IF(A157="","",RANK(R157,$R$2:$R$500,0))</f>
        <v/>
      </c>
    </row>
    <row r="158" ht="22" customHeight="1">
      <c r="A158" s="46" t="n"/>
      <c r="B158" s="50" t="n"/>
      <c r="C158" s="50" t="n"/>
      <c r="D158" s="50" t="n"/>
      <c r="E158" s="50" t="n"/>
      <c r="F158" s="46" t="n"/>
      <c r="G158" s="46" t="n"/>
      <c r="H158" s="46" t="n"/>
      <c r="I158" s="46" t="n"/>
      <c r="J158" s="46" t="n"/>
      <c r="K158" s="46" t="n"/>
      <c r="L158" s="46" t="n"/>
      <c r="M158" s="46" t="n"/>
      <c r="N158" s="46" t="n"/>
      <c r="O158" s="46" t="n"/>
      <c r="P158" s="46" t="n"/>
      <c r="Q158" s="46" t="n"/>
      <c r="R158" s="46">
        <f>IF(A158="","",ROUND(B158/10000*0.25+C158/10000*0.05+D158/10000*0.05+E158/10000*0.05+IF(F158="Yes",10,IF(F158="No",0,5))*0.10+IF(G158="Yes",10,IF(G158="No",0,5))*0.05+H158*0.10+I158*0.10+J158*0.05+K158*0.05+L158*0.05+M158*0.05+N158*0.03+O158*0.02+P158*0.05,1))</f>
        <v/>
      </c>
      <c r="S158" s="46">
        <f>IF(A158="","",RANK(R158,$R$2:$R$500,0))</f>
        <v/>
      </c>
    </row>
    <row r="159" ht="22" customHeight="1">
      <c r="A159" s="48" t="n"/>
      <c r="B159" s="51" t="n"/>
      <c r="C159" s="51" t="n"/>
      <c r="D159" s="51" t="n"/>
      <c r="E159" s="51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>
        <f>IF(A159="","",ROUND(B159/10000*0.25+C159/10000*0.05+D159/10000*0.05+E159/10000*0.05+IF(F159="Yes",10,IF(F159="No",0,5))*0.10+IF(G159="Yes",10,IF(G159="No",0,5))*0.05+H159*0.10+I159*0.10+J159*0.05+K159*0.05+L159*0.05+M159*0.05+N159*0.03+O159*0.02+P159*0.05,1))</f>
        <v/>
      </c>
      <c r="S159" s="48">
        <f>IF(A159="","",RANK(R159,$R$2:$R$500,0))</f>
        <v/>
      </c>
    </row>
    <row r="160" ht="22" customHeight="1">
      <c r="A160" s="46" t="n"/>
      <c r="B160" s="50" t="n"/>
      <c r="C160" s="50" t="n"/>
      <c r="D160" s="50" t="n"/>
      <c r="E160" s="50" t="n"/>
      <c r="F160" s="46" t="n"/>
      <c r="G160" s="46" t="n"/>
      <c r="H160" s="46" t="n"/>
      <c r="I160" s="46" t="n"/>
      <c r="J160" s="46" t="n"/>
      <c r="K160" s="46" t="n"/>
      <c r="L160" s="46" t="n"/>
      <c r="M160" s="46" t="n"/>
      <c r="N160" s="46" t="n"/>
      <c r="O160" s="46" t="n"/>
      <c r="P160" s="46" t="n"/>
      <c r="Q160" s="46" t="n"/>
      <c r="R160" s="46">
        <f>IF(A160="","",ROUND(B160/10000*0.25+C160/10000*0.05+D160/10000*0.05+E160/10000*0.05+IF(F160="Yes",10,IF(F160="No",0,5))*0.10+IF(G160="Yes",10,IF(G160="No",0,5))*0.05+H160*0.10+I160*0.10+J160*0.05+K160*0.05+L160*0.05+M160*0.05+N160*0.03+O160*0.02+P160*0.05,1))</f>
        <v/>
      </c>
      <c r="S160" s="46">
        <f>IF(A160="","",RANK(R160,$R$2:$R$500,0))</f>
        <v/>
      </c>
    </row>
    <row r="161" ht="22" customHeight="1">
      <c r="A161" s="48" t="n"/>
      <c r="B161" s="51" t="n"/>
      <c r="C161" s="51" t="n"/>
      <c r="D161" s="51" t="n"/>
      <c r="E161" s="51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>
        <f>IF(A161="","",ROUND(B161/10000*0.25+C161/10000*0.05+D161/10000*0.05+E161/10000*0.05+IF(F161="Yes",10,IF(F161="No",0,5))*0.10+IF(G161="Yes",10,IF(G161="No",0,5))*0.05+H161*0.10+I161*0.10+J161*0.05+K161*0.05+L161*0.05+M161*0.05+N161*0.03+O161*0.02+P161*0.05,1))</f>
        <v/>
      </c>
      <c r="S161" s="48">
        <f>IF(A161="","",RANK(R161,$R$2:$R$500,0))</f>
        <v/>
      </c>
    </row>
    <row r="162" ht="22" customHeight="1">
      <c r="A162" s="46" t="n"/>
      <c r="B162" s="50" t="n"/>
      <c r="C162" s="50" t="n"/>
      <c r="D162" s="50" t="n"/>
      <c r="E162" s="50" t="n"/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n"/>
      <c r="P162" s="46" t="n"/>
      <c r="Q162" s="46" t="n"/>
      <c r="R162" s="46">
        <f>IF(A162="","",ROUND(B162/10000*0.25+C162/10000*0.05+D162/10000*0.05+E162/10000*0.05+IF(F162="Yes",10,IF(F162="No",0,5))*0.10+IF(G162="Yes",10,IF(G162="No",0,5))*0.05+H162*0.10+I162*0.10+J162*0.05+K162*0.05+L162*0.05+M162*0.05+N162*0.03+O162*0.02+P162*0.05,1))</f>
        <v/>
      </c>
      <c r="S162" s="46">
        <f>IF(A162="","",RANK(R162,$R$2:$R$500,0))</f>
        <v/>
      </c>
    </row>
    <row r="163" ht="22" customHeight="1">
      <c r="A163" s="48" t="n"/>
      <c r="B163" s="51" t="n"/>
      <c r="C163" s="51" t="n"/>
      <c r="D163" s="51" t="n"/>
      <c r="E163" s="51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>
        <f>IF(A163="","",ROUND(B163/10000*0.25+C163/10000*0.05+D163/10000*0.05+E163/10000*0.05+IF(F163="Yes",10,IF(F163="No",0,5))*0.10+IF(G163="Yes",10,IF(G163="No",0,5))*0.05+H163*0.10+I163*0.10+J163*0.05+K163*0.05+L163*0.05+M163*0.05+N163*0.03+O163*0.02+P163*0.05,1))</f>
        <v/>
      </c>
      <c r="S163" s="48">
        <f>IF(A163="","",RANK(R163,$R$2:$R$500,0))</f>
        <v/>
      </c>
    </row>
    <row r="164" ht="22" customHeight="1">
      <c r="A164" s="46" t="n"/>
      <c r="B164" s="50" t="n"/>
      <c r="C164" s="50" t="n"/>
      <c r="D164" s="50" t="n"/>
      <c r="E164" s="50" t="n"/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n"/>
      <c r="P164" s="46" t="n"/>
      <c r="Q164" s="46" t="n"/>
      <c r="R164" s="46">
        <f>IF(A164="","",ROUND(B164/10000*0.25+C164/10000*0.05+D164/10000*0.05+E164/10000*0.05+IF(F164="Yes",10,IF(F164="No",0,5))*0.10+IF(G164="Yes",10,IF(G164="No",0,5))*0.05+H164*0.10+I164*0.10+J164*0.05+K164*0.05+L164*0.05+M164*0.05+N164*0.03+O164*0.02+P164*0.05,1))</f>
        <v/>
      </c>
      <c r="S164" s="46">
        <f>IF(A164="","",RANK(R164,$R$2:$R$500,0))</f>
        <v/>
      </c>
    </row>
    <row r="165" ht="22" customHeight="1">
      <c r="A165" s="48" t="n"/>
      <c r="B165" s="51" t="n"/>
      <c r="C165" s="51" t="n"/>
      <c r="D165" s="51" t="n"/>
      <c r="E165" s="51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>
        <f>IF(A165="","",ROUND(B165/10000*0.25+C165/10000*0.05+D165/10000*0.05+E165/10000*0.05+IF(F165="Yes",10,IF(F165="No",0,5))*0.10+IF(G165="Yes",10,IF(G165="No",0,5))*0.05+H165*0.10+I165*0.10+J165*0.05+K165*0.05+L165*0.05+M165*0.05+N165*0.03+O165*0.02+P165*0.05,1))</f>
        <v/>
      </c>
      <c r="S165" s="48">
        <f>IF(A165="","",RANK(R165,$R$2:$R$500,0))</f>
        <v/>
      </c>
    </row>
    <row r="166" ht="22" customHeight="1">
      <c r="A166" s="46" t="n"/>
      <c r="B166" s="50" t="n"/>
      <c r="C166" s="50" t="n"/>
      <c r="D166" s="50" t="n"/>
      <c r="E166" s="50" t="n"/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n"/>
      <c r="P166" s="46" t="n"/>
      <c r="Q166" s="46" t="n"/>
      <c r="R166" s="46">
        <f>IF(A166="","",ROUND(B166/10000*0.25+C166/10000*0.05+D166/10000*0.05+E166/10000*0.05+IF(F166="Yes",10,IF(F166="No",0,5))*0.10+IF(G166="Yes",10,IF(G166="No",0,5))*0.05+H166*0.10+I166*0.10+J166*0.05+K166*0.05+L166*0.05+M166*0.05+N166*0.03+O166*0.02+P166*0.05,1))</f>
        <v/>
      </c>
      <c r="S166" s="46">
        <f>IF(A166="","",RANK(R166,$R$2:$R$500,0))</f>
        <v/>
      </c>
    </row>
    <row r="167" ht="22" customHeight="1">
      <c r="A167" s="48" t="n"/>
      <c r="B167" s="51" t="n"/>
      <c r="C167" s="51" t="n"/>
      <c r="D167" s="51" t="n"/>
      <c r="E167" s="51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>
        <f>IF(A167="","",ROUND(B167/10000*0.25+C167/10000*0.05+D167/10000*0.05+E167/10000*0.05+IF(F167="Yes",10,IF(F167="No",0,5))*0.10+IF(G167="Yes",10,IF(G167="No",0,5))*0.05+H167*0.10+I167*0.10+J167*0.05+K167*0.05+L167*0.05+M167*0.05+N167*0.03+O167*0.02+P167*0.05,1))</f>
        <v/>
      </c>
      <c r="S167" s="48">
        <f>IF(A167="","",RANK(R167,$R$2:$R$500,0))</f>
        <v/>
      </c>
    </row>
    <row r="168" ht="22" customHeight="1">
      <c r="A168" s="46" t="n"/>
      <c r="B168" s="50" t="n"/>
      <c r="C168" s="50" t="n"/>
      <c r="D168" s="50" t="n"/>
      <c r="E168" s="50" t="n"/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n"/>
      <c r="P168" s="46" t="n"/>
      <c r="Q168" s="46" t="n"/>
      <c r="R168" s="46">
        <f>IF(A168="","",ROUND(B168/10000*0.25+C168/10000*0.05+D168/10000*0.05+E168/10000*0.05+IF(F168="Yes",10,IF(F168="No",0,5))*0.10+IF(G168="Yes",10,IF(G168="No",0,5))*0.05+H168*0.10+I168*0.10+J168*0.05+K168*0.05+L168*0.05+M168*0.05+N168*0.03+O168*0.02+P168*0.05,1))</f>
        <v/>
      </c>
      <c r="S168" s="46">
        <f>IF(A168="","",RANK(R168,$R$2:$R$500,0))</f>
        <v/>
      </c>
    </row>
    <row r="169" ht="22" customHeight="1">
      <c r="A169" s="48" t="n"/>
      <c r="B169" s="51" t="n"/>
      <c r="C169" s="51" t="n"/>
      <c r="D169" s="51" t="n"/>
      <c r="E169" s="51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>
        <f>IF(A169="","",ROUND(B169/10000*0.25+C169/10000*0.05+D169/10000*0.05+E169/10000*0.05+IF(F169="Yes",10,IF(F169="No",0,5))*0.10+IF(G169="Yes",10,IF(G169="No",0,5))*0.05+H169*0.10+I169*0.10+J169*0.05+K169*0.05+L169*0.05+M169*0.05+N169*0.03+O169*0.02+P169*0.05,1))</f>
        <v/>
      </c>
      <c r="S169" s="48">
        <f>IF(A169="","",RANK(R169,$R$2:$R$500,0))</f>
        <v/>
      </c>
    </row>
    <row r="170" ht="22" customHeight="1">
      <c r="A170" s="46" t="n"/>
      <c r="B170" s="50" t="n"/>
      <c r="C170" s="50" t="n"/>
      <c r="D170" s="50" t="n"/>
      <c r="E170" s="50" t="n"/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n"/>
      <c r="P170" s="46" t="n"/>
      <c r="Q170" s="46" t="n"/>
      <c r="R170" s="46">
        <f>IF(A170="","",ROUND(B170/10000*0.25+C170/10000*0.05+D170/10000*0.05+E170/10000*0.05+IF(F170="Yes",10,IF(F170="No",0,5))*0.10+IF(G170="Yes",10,IF(G170="No",0,5))*0.05+H170*0.10+I170*0.10+J170*0.05+K170*0.05+L170*0.05+M170*0.05+N170*0.03+O170*0.02+P170*0.05,1))</f>
        <v/>
      </c>
      <c r="S170" s="46">
        <f>IF(A170="","",RANK(R170,$R$2:$R$500,0))</f>
        <v/>
      </c>
    </row>
    <row r="171" ht="22" customHeight="1">
      <c r="A171" s="48" t="n"/>
      <c r="B171" s="51" t="n"/>
      <c r="C171" s="51" t="n"/>
      <c r="D171" s="51" t="n"/>
      <c r="E171" s="51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>
        <f>IF(A171="","",ROUND(B171/10000*0.25+C171/10000*0.05+D171/10000*0.05+E171/10000*0.05+IF(F171="Yes",10,IF(F171="No",0,5))*0.10+IF(G171="Yes",10,IF(G171="No",0,5))*0.05+H171*0.10+I171*0.10+J171*0.05+K171*0.05+L171*0.05+M171*0.05+N171*0.03+O171*0.02+P171*0.05,1))</f>
        <v/>
      </c>
      <c r="S171" s="48">
        <f>IF(A171="","",RANK(R171,$R$2:$R$500,0))</f>
        <v/>
      </c>
    </row>
    <row r="172" ht="22" customHeight="1">
      <c r="A172" s="46" t="n"/>
      <c r="B172" s="50" t="n"/>
      <c r="C172" s="50" t="n"/>
      <c r="D172" s="50" t="n"/>
      <c r="E172" s="50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>
        <f>IF(A172="","",ROUND(B172/10000*0.25+C172/10000*0.05+D172/10000*0.05+E172/10000*0.05+IF(F172="Yes",10,IF(F172="No",0,5))*0.10+IF(G172="Yes",10,IF(G172="No",0,5))*0.05+H172*0.10+I172*0.10+J172*0.05+K172*0.05+L172*0.05+M172*0.05+N172*0.03+O172*0.02+P172*0.05,1))</f>
        <v/>
      </c>
      <c r="S172" s="46">
        <f>IF(A172="","",RANK(R172,$R$2:$R$500,0))</f>
        <v/>
      </c>
    </row>
    <row r="173" ht="22" customHeight="1">
      <c r="A173" s="48" t="n"/>
      <c r="B173" s="51" t="n"/>
      <c r="C173" s="51" t="n"/>
      <c r="D173" s="51" t="n"/>
      <c r="E173" s="51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>
        <f>IF(A173="","",ROUND(B173/10000*0.25+C173/10000*0.05+D173/10000*0.05+E173/10000*0.05+IF(F173="Yes",10,IF(F173="No",0,5))*0.10+IF(G173="Yes",10,IF(G173="No",0,5))*0.05+H173*0.10+I173*0.10+J173*0.05+K173*0.05+L173*0.05+M173*0.05+N173*0.03+O173*0.02+P173*0.05,1))</f>
        <v/>
      </c>
      <c r="S173" s="48">
        <f>IF(A173="","",RANK(R173,$R$2:$R$500,0))</f>
        <v/>
      </c>
    </row>
    <row r="174" ht="22" customHeight="1">
      <c r="A174" s="46" t="n"/>
      <c r="B174" s="50" t="n"/>
      <c r="C174" s="50" t="n"/>
      <c r="D174" s="50" t="n"/>
      <c r="E174" s="50" t="n"/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>
        <f>IF(A174="","",ROUND(B174/10000*0.25+C174/10000*0.05+D174/10000*0.05+E174/10000*0.05+IF(F174="Yes",10,IF(F174="No",0,5))*0.10+IF(G174="Yes",10,IF(G174="No",0,5))*0.05+H174*0.10+I174*0.10+J174*0.05+K174*0.05+L174*0.05+M174*0.05+N174*0.03+O174*0.02+P174*0.05,1))</f>
        <v/>
      </c>
      <c r="S174" s="46">
        <f>IF(A174="","",RANK(R174,$R$2:$R$500,0))</f>
        <v/>
      </c>
    </row>
    <row r="175" ht="22" customHeight="1">
      <c r="A175" s="48" t="n"/>
      <c r="B175" s="51" t="n"/>
      <c r="C175" s="51" t="n"/>
      <c r="D175" s="51" t="n"/>
      <c r="E175" s="51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>
        <f>IF(A175="","",ROUND(B175/10000*0.25+C175/10000*0.05+D175/10000*0.05+E175/10000*0.05+IF(F175="Yes",10,IF(F175="No",0,5))*0.10+IF(G175="Yes",10,IF(G175="No",0,5))*0.05+H175*0.10+I175*0.10+J175*0.05+K175*0.05+L175*0.05+M175*0.05+N175*0.03+O175*0.02+P175*0.05,1))</f>
        <v/>
      </c>
      <c r="S175" s="48">
        <f>IF(A175="","",RANK(R175,$R$2:$R$500,0))</f>
        <v/>
      </c>
    </row>
    <row r="176" ht="22" customHeight="1">
      <c r="A176" s="46" t="n"/>
      <c r="B176" s="50" t="n"/>
      <c r="C176" s="50" t="n"/>
      <c r="D176" s="50" t="n"/>
      <c r="E176" s="50" t="n"/>
      <c r="F176" s="46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>
        <f>IF(A176="","",ROUND(B176/10000*0.25+C176/10000*0.05+D176/10000*0.05+E176/10000*0.05+IF(F176="Yes",10,IF(F176="No",0,5))*0.10+IF(G176="Yes",10,IF(G176="No",0,5))*0.05+H176*0.10+I176*0.10+J176*0.05+K176*0.05+L176*0.05+M176*0.05+N176*0.03+O176*0.02+P176*0.05,1))</f>
        <v/>
      </c>
      <c r="S176" s="46">
        <f>IF(A176="","",RANK(R176,$R$2:$R$500,0))</f>
        <v/>
      </c>
    </row>
    <row r="177" ht="22" customHeight="1">
      <c r="A177" s="48" t="n"/>
      <c r="B177" s="51" t="n"/>
      <c r="C177" s="51" t="n"/>
      <c r="D177" s="51" t="n"/>
      <c r="E177" s="51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>
        <f>IF(A177="","",ROUND(B177/10000*0.25+C177/10000*0.05+D177/10000*0.05+E177/10000*0.05+IF(F177="Yes",10,IF(F177="No",0,5))*0.10+IF(G177="Yes",10,IF(G177="No",0,5))*0.05+H177*0.10+I177*0.10+J177*0.05+K177*0.05+L177*0.05+M177*0.05+N177*0.03+O177*0.02+P177*0.05,1))</f>
        <v/>
      </c>
      <c r="S177" s="48">
        <f>IF(A177="","",RANK(R177,$R$2:$R$500,0))</f>
        <v/>
      </c>
    </row>
    <row r="178" ht="22" customHeight="1">
      <c r="A178" s="46" t="n"/>
      <c r="B178" s="50" t="n"/>
      <c r="C178" s="50" t="n"/>
      <c r="D178" s="50" t="n"/>
      <c r="E178" s="50" t="n"/>
      <c r="F178" s="46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>
        <f>IF(A178="","",ROUND(B178/10000*0.25+C178/10000*0.05+D178/10000*0.05+E178/10000*0.05+IF(F178="Yes",10,IF(F178="No",0,5))*0.10+IF(G178="Yes",10,IF(G178="No",0,5))*0.05+H178*0.10+I178*0.10+J178*0.05+K178*0.05+L178*0.05+M178*0.05+N178*0.03+O178*0.02+P178*0.05,1))</f>
        <v/>
      </c>
      <c r="S178" s="46">
        <f>IF(A178="","",RANK(R178,$R$2:$R$500,0))</f>
        <v/>
      </c>
    </row>
    <row r="179" ht="22" customHeight="1">
      <c r="A179" s="48" t="n"/>
      <c r="B179" s="51" t="n"/>
      <c r="C179" s="51" t="n"/>
      <c r="D179" s="51" t="n"/>
      <c r="E179" s="51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>
        <f>IF(A179="","",ROUND(B179/10000*0.25+C179/10000*0.05+D179/10000*0.05+E179/10000*0.05+IF(F179="Yes",10,IF(F179="No",0,5))*0.10+IF(G179="Yes",10,IF(G179="No",0,5))*0.05+H179*0.10+I179*0.10+J179*0.05+K179*0.05+L179*0.05+M179*0.05+N179*0.03+O179*0.02+P179*0.05,1))</f>
        <v/>
      </c>
      <c r="S179" s="48">
        <f>IF(A179="","",RANK(R179,$R$2:$R$500,0))</f>
        <v/>
      </c>
    </row>
    <row r="180" ht="22" customHeight="1">
      <c r="A180" s="46" t="n"/>
      <c r="B180" s="50" t="n"/>
      <c r="C180" s="50" t="n"/>
      <c r="D180" s="50" t="n"/>
      <c r="E180" s="50" t="n"/>
      <c r="F180" s="46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>
        <f>IF(A180="","",ROUND(B180/10000*0.25+C180/10000*0.05+D180/10000*0.05+E180/10000*0.05+IF(F180="Yes",10,IF(F180="No",0,5))*0.10+IF(G180="Yes",10,IF(G180="No",0,5))*0.05+H180*0.10+I180*0.10+J180*0.05+K180*0.05+L180*0.05+M180*0.05+N180*0.03+O180*0.02+P180*0.05,1))</f>
        <v/>
      </c>
      <c r="S180" s="46">
        <f>IF(A180="","",RANK(R180,$R$2:$R$500,0))</f>
        <v/>
      </c>
    </row>
    <row r="181" ht="22" customHeight="1">
      <c r="A181" s="48" t="n"/>
      <c r="B181" s="51" t="n"/>
      <c r="C181" s="51" t="n"/>
      <c r="D181" s="51" t="n"/>
      <c r="E181" s="51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>
        <f>IF(A181="","",ROUND(B181/10000*0.25+C181/10000*0.05+D181/10000*0.05+E181/10000*0.05+IF(F181="Yes",10,IF(F181="No",0,5))*0.10+IF(G181="Yes",10,IF(G181="No",0,5))*0.05+H181*0.10+I181*0.10+J181*0.05+K181*0.05+L181*0.05+M181*0.05+N181*0.03+O181*0.02+P181*0.05,1))</f>
        <v/>
      </c>
      <c r="S181" s="48">
        <f>IF(A181="","",RANK(R181,$R$2:$R$500,0))</f>
        <v/>
      </c>
    </row>
    <row r="182" ht="22" customHeight="1">
      <c r="A182" s="46" t="n"/>
      <c r="B182" s="50" t="n"/>
      <c r="C182" s="50" t="n"/>
      <c r="D182" s="50" t="n"/>
      <c r="E182" s="50" t="n"/>
      <c r="F182" s="46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>
        <f>IF(A182="","",ROUND(B182/10000*0.25+C182/10000*0.05+D182/10000*0.05+E182/10000*0.05+IF(F182="Yes",10,IF(F182="No",0,5))*0.10+IF(G182="Yes",10,IF(G182="No",0,5))*0.05+H182*0.10+I182*0.10+J182*0.05+K182*0.05+L182*0.05+M182*0.05+N182*0.03+O182*0.02+P182*0.05,1))</f>
        <v/>
      </c>
      <c r="S182" s="46">
        <f>IF(A182="","",RANK(R182,$R$2:$R$500,0))</f>
        <v/>
      </c>
    </row>
    <row r="183" ht="22" customHeight="1">
      <c r="A183" s="48" t="n"/>
      <c r="B183" s="51" t="n"/>
      <c r="C183" s="51" t="n"/>
      <c r="D183" s="51" t="n"/>
      <c r="E183" s="51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>
        <f>IF(A183="","",ROUND(B183/10000*0.25+C183/10000*0.05+D183/10000*0.05+E183/10000*0.05+IF(F183="Yes",10,IF(F183="No",0,5))*0.10+IF(G183="Yes",10,IF(G183="No",0,5))*0.05+H183*0.10+I183*0.10+J183*0.05+K183*0.05+L183*0.05+M183*0.05+N183*0.03+O183*0.02+P183*0.05,1))</f>
        <v/>
      </c>
      <c r="S183" s="48">
        <f>IF(A183="","",RANK(R183,$R$2:$R$500,0))</f>
        <v/>
      </c>
    </row>
    <row r="184" ht="22" customHeight="1">
      <c r="A184" s="46" t="n"/>
      <c r="B184" s="50" t="n"/>
      <c r="C184" s="50" t="n"/>
      <c r="D184" s="50" t="n"/>
      <c r="E184" s="50" t="n"/>
      <c r="F184" s="46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>
        <f>IF(A184="","",ROUND(B184/10000*0.25+C184/10000*0.05+D184/10000*0.05+E184/10000*0.05+IF(F184="Yes",10,IF(F184="No",0,5))*0.10+IF(G184="Yes",10,IF(G184="No",0,5))*0.05+H184*0.10+I184*0.10+J184*0.05+K184*0.05+L184*0.05+M184*0.05+N184*0.03+O184*0.02+P184*0.05,1))</f>
        <v/>
      </c>
      <c r="S184" s="46">
        <f>IF(A184="","",RANK(R184,$R$2:$R$500,0))</f>
        <v/>
      </c>
    </row>
    <row r="185" ht="22" customHeight="1">
      <c r="A185" s="48" t="n"/>
      <c r="B185" s="51" t="n"/>
      <c r="C185" s="51" t="n"/>
      <c r="D185" s="51" t="n"/>
      <c r="E185" s="51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>
        <f>IF(A185="","",ROUND(B185/10000*0.25+C185/10000*0.05+D185/10000*0.05+E185/10000*0.05+IF(F185="Yes",10,IF(F185="No",0,5))*0.10+IF(G185="Yes",10,IF(G185="No",0,5))*0.05+H185*0.10+I185*0.10+J185*0.05+K185*0.05+L185*0.05+M185*0.05+N185*0.03+O185*0.02+P185*0.05,1))</f>
        <v/>
      </c>
      <c r="S185" s="48">
        <f>IF(A185="","",RANK(R185,$R$2:$R$500,0))</f>
        <v/>
      </c>
    </row>
    <row r="186" ht="22" customHeight="1">
      <c r="A186" s="46" t="n"/>
      <c r="B186" s="50" t="n"/>
      <c r="C186" s="50" t="n"/>
      <c r="D186" s="50" t="n"/>
      <c r="E186" s="50" t="n"/>
      <c r="F186" s="46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>
        <f>IF(A186="","",ROUND(B186/10000*0.25+C186/10000*0.05+D186/10000*0.05+E186/10000*0.05+IF(F186="Yes",10,IF(F186="No",0,5))*0.10+IF(G186="Yes",10,IF(G186="No",0,5))*0.05+H186*0.10+I186*0.10+J186*0.05+K186*0.05+L186*0.05+M186*0.05+N186*0.03+O186*0.02+P186*0.05,1))</f>
        <v/>
      </c>
      <c r="S186" s="46">
        <f>IF(A186="","",RANK(R186,$R$2:$R$500,0))</f>
        <v/>
      </c>
    </row>
    <row r="187" ht="22" customHeight="1">
      <c r="A187" s="48" t="n"/>
      <c r="B187" s="51" t="n"/>
      <c r="C187" s="51" t="n"/>
      <c r="D187" s="51" t="n"/>
      <c r="E187" s="51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>
        <f>IF(A187="","",ROUND(B187/10000*0.25+C187/10000*0.05+D187/10000*0.05+E187/10000*0.05+IF(F187="Yes",10,IF(F187="No",0,5))*0.10+IF(G187="Yes",10,IF(G187="No",0,5))*0.05+H187*0.10+I187*0.10+J187*0.05+K187*0.05+L187*0.05+M187*0.05+N187*0.03+O187*0.02+P187*0.05,1))</f>
        <v/>
      </c>
      <c r="S187" s="48">
        <f>IF(A187="","",RANK(R187,$R$2:$R$500,0))</f>
        <v/>
      </c>
    </row>
    <row r="188" ht="22" customHeight="1">
      <c r="A188" s="46" t="n"/>
      <c r="B188" s="50" t="n"/>
      <c r="C188" s="50" t="n"/>
      <c r="D188" s="50" t="n"/>
      <c r="E188" s="50" t="n"/>
      <c r="F188" s="46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>
        <f>IF(A188="","",ROUND(B188/10000*0.25+C188/10000*0.05+D188/10000*0.05+E188/10000*0.05+IF(F188="Yes",10,IF(F188="No",0,5))*0.10+IF(G188="Yes",10,IF(G188="No",0,5))*0.05+H188*0.10+I188*0.10+J188*0.05+K188*0.05+L188*0.05+M188*0.05+N188*0.03+O188*0.02+P188*0.05,1))</f>
        <v/>
      </c>
      <c r="S188" s="46">
        <f>IF(A188="","",RANK(R188,$R$2:$R$500,0))</f>
        <v/>
      </c>
    </row>
    <row r="189" ht="22" customHeight="1">
      <c r="A189" s="48" t="n"/>
      <c r="B189" s="51" t="n"/>
      <c r="C189" s="51" t="n"/>
      <c r="D189" s="51" t="n"/>
      <c r="E189" s="51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>
        <f>IF(A189="","",ROUND(B189/10000*0.25+C189/10000*0.05+D189/10000*0.05+E189/10000*0.05+IF(F189="Yes",10,IF(F189="No",0,5))*0.10+IF(G189="Yes",10,IF(G189="No",0,5))*0.05+H189*0.10+I189*0.10+J189*0.05+K189*0.05+L189*0.05+M189*0.05+N189*0.03+O189*0.02+P189*0.05,1))</f>
        <v/>
      </c>
      <c r="S189" s="48">
        <f>IF(A189="","",RANK(R189,$R$2:$R$500,0))</f>
        <v/>
      </c>
    </row>
    <row r="190" ht="22" customHeight="1">
      <c r="A190" s="46" t="n"/>
      <c r="B190" s="50" t="n"/>
      <c r="C190" s="50" t="n"/>
      <c r="D190" s="50" t="n"/>
      <c r="E190" s="50" t="n"/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>
        <f>IF(A190="","",ROUND(B190/10000*0.25+C190/10000*0.05+D190/10000*0.05+E190/10000*0.05+IF(F190="Yes",10,IF(F190="No",0,5))*0.10+IF(G190="Yes",10,IF(G190="No",0,5))*0.05+H190*0.10+I190*0.10+J190*0.05+K190*0.05+L190*0.05+M190*0.05+N190*0.03+O190*0.02+P190*0.05,1))</f>
        <v/>
      </c>
      <c r="S190" s="46">
        <f>IF(A190="","",RANK(R190,$R$2:$R$500,0))</f>
        <v/>
      </c>
    </row>
    <row r="191" ht="22" customHeight="1">
      <c r="A191" s="48" t="n"/>
      <c r="B191" s="51" t="n"/>
      <c r="C191" s="51" t="n"/>
      <c r="D191" s="51" t="n"/>
      <c r="E191" s="51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>
        <f>IF(A191="","",ROUND(B191/10000*0.25+C191/10000*0.05+D191/10000*0.05+E191/10000*0.05+IF(F191="Yes",10,IF(F191="No",0,5))*0.10+IF(G191="Yes",10,IF(G191="No",0,5))*0.05+H191*0.10+I191*0.10+J191*0.05+K191*0.05+L191*0.05+M191*0.05+N191*0.03+O191*0.02+P191*0.05,1))</f>
        <v/>
      </c>
      <c r="S191" s="48">
        <f>IF(A191="","",RANK(R191,$R$2:$R$500,0))</f>
        <v/>
      </c>
    </row>
    <row r="192" ht="22" customHeight="1">
      <c r="A192" s="46" t="n"/>
      <c r="B192" s="50" t="n"/>
      <c r="C192" s="50" t="n"/>
      <c r="D192" s="50" t="n"/>
      <c r="E192" s="50" t="n"/>
      <c r="F192" s="46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>
        <f>IF(A192="","",ROUND(B192/10000*0.25+C192/10000*0.05+D192/10000*0.05+E192/10000*0.05+IF(F192="Yes",10,IF(F192="No",0,5))*0.10+IF(G192="Yes",10,IF(G192="No",0,5))*0.05+H192*0.10+I192*0.10+J192*0.05+K192*0.05+L192*0.05+M192*0.05+N192*0.03+O192*0.02+P192*0.05,1))</f>
        <v/>
      </c>
      <c r="S192" s="46">
        <f>IF(A192="","",RANK(R192,$R$2:$R$500,0))</f>
        <v/>
      </c>
    </row>
    <row r="193" ht="22" customHeight="1">
      <c r="A193" s="48" t="n"/>
      <c r="B193" s="51" t="n"/>
      <c r="C193" s="51" t="n"/>
      <c r="D193" s="51" t="n"/>
      <c r="E193" s="51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>
        <f>IF(A193="","",ROUND(B193/10000*0.25+C193/10000*0.05+D193/10000*0.05+E193/10000*0.05+IF(F193="Yes",10,IF(F193="No",0,5))*0.10+IF(G193="Yes",10,IF(G193="No",0,5))*0.05+H193*0.10+I193*0.10+J193*0.05+K193*0.05+L193*0.05+M193*0.05+N193*0.03+O193*0.02+P193*0.05,1))</f>
        <v/>
      </c>
      <c r="S193" s="48">
        <f>IF(A193="","",RANK(R193,$R$2:$R$500,0))</f>
        <v/>
      </c>
    </row>
    <row r="194" ht="22" customHeight="1">
      <c r="A194" s="46" t="n"/>
      <c r="B194" s="50" t="n"/>
      <c r="C194" s="50" t="n"/>
      <c r="D194" s="50" t="n"/>
      <c r="E194" s="50" t="n"/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>
        <f>IF(A194="","",ROUND(B194/10000*0.25+C194/10000*0.05+D194/10000*0.05+E194/10000*0.05+IF(F194="Yes",10,IF(F194="No",0,5))*0.10+IF(G194="Yes",10,IF(G194="No",0,5))*0.05+H194*0.10+I194*0.10+J194*0.05+K194*0.05+L194*0.05+M194*0.05+N194*0.03+O194*0.02+P194*0.05,1))</f>
        <v/>
      </c>
      <c r="S194" s="46">
        <f>IF(A194="","",RANK(R194,$R$2:$R$500,0))</f>
        <v/>
      </c>
    </row>
    <row r="195" ht="22" customHeight="1">
      <c r="A195" s="48" t="n"/>
      <c r="B195" s="51" t="n"/>
      <c r="C195" s="51" t="n"/>
      <c r="D195" s="51" t="n"/>
      <c r="E195" s="51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>
        <f>IF(A195="","",ROUND(B195/10000*0.25+C195/10000*0.05+D195/10000*0.05+E195/10000*0.05+IF(F195="Yes",10,IF(F195="No",0,5))*0.10+IF(G195="Yes",10,IF(G195="No",0,5))*0.05+H195*0.10+I195*0.10+J195*0.05+K195*0.05+L195*0.05+M195*0.05+N195*0.03+O195*0.02+P195*0.05,1))</f>
        <v/>
      </c>
      <c r="S195" s="48">
        <f>IF(A195="","",RANK(R195,$R$2:$R$500,0))</f>
        <v/>
      </c>
    </row>
    <row r="196" ht="22" customHeight="1">
      <c r="A196" s="46" t="n"/>
      <c r="B196" s="50" t="n"/>
      <c r="C196" s="50" t="n"/>
      <c r="D196" s="50" t="n"/>
      <c r="E196" s="50" t="n"/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>
        <f>IF(A196="","",ROUND(B196/10000*0.25+C196/10000*0.05+D196/10000*0.05+E196/10000*0.05+IF(F196="Yes",10,IF(F196="No",0,5))*0.10+IF(G196="Yes",10,IF(G196="No",0,5))*0.05+H196*0.10+I196*0.10+J196*0.05+K196*0.05+L196*0.05+M196*0.05+N196*0.03+O196*0.02+P196*0.05,1))</f>
        <v/>
      </c>
      <c r="S196" s="46">
        <f>IF(A196="","",RANK(R196,$R$2:$R$500,0))</f>
        <v/>
      </c>
    </row>
    <row r="197" ht="22" customHeight="1">
      <c r="A197" s="48" t="n"/>
      <c r="B197" s="51" t="n"/>
      <c r="C197" s="51" t="n"/>
      <c r="D197" s="51" t="n"/>
      <c r="E197" s="51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>
        <f>IF(A197="","",ROUND(B197/10000*0.25+C197/10000*0.05+D197/10000*0.05+E197/10000*0.05+IF(F197="Yes",10,IF(F197="No",0,5))*0.10+IF(G197="Yes",10,IF(G197="No",0,5))*0.05+H197*0.10+I197*0.10+J197*0.05+K197*0.05+L197*0.05+M197*0.05+N197*0.03+O197*0.02+P197*0.05,1))</f>
        <v/>
      </c>
      <c r="S197" s="48">
        <f>IF(A197="","",RANK(R197,$R$2:$R$500,0))</f>
        <v/>
      </c>
    </row>
    <row r="198" ht="22" customHeight="1">
      <c r="A198" s="46" t="n"/>
      <c r="B198" s="50" t="n"/>
      <c r="C198" s="50" t="n"/>
      <c r="D198" s="50" t="n"/>
      <c r="E198" s="50" t="n"/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>
        <f>IF(A198="","",ROUND(B198/10000*0.25+C198/10000*0.05+D198/10000*0.05+E198/10000*0.05+IF(F198="Yes",10,IF(F198="No",0,5))*0.10+IF(G198="Yes",10,IF(G198="No",0,5))*0.05+H198*0.10+I198*0.10+J198*0.05+K198*0.05+L198*0.05+M198*0.05+N198*0.03+O198*0.02+P198*0.05,1))</f>
        <v/>
      </c>
      <c r="S198" s="46">
        <f>IF(A198="","",RANK(R198,$R$2:$R$500,0))</f>
        <v/>
      </c>
    </row>
    <row r="199" ht="22" customHeight="1">
      <c r="A199" s="48" t="n"/>
      <c r="B199" s="51" t="n"/>
      <c r="C199" s="51" t="n"/>
      <c r="D199" s="51" t="n"/>
      <c r="E199" s="51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>
        <f>IF(A199="","",ROUND(B199/10000*0.25+C199/10000*0.05+D199/10000*0.05+E199/10000*0.05+IF(F199="Yes",10,IF(F199="No",0,5))*0.10+IF(G199="Yes",10,IF(G199="No",0,5))*0.05+H199*0.10+I199*0.10+J199*0.05+K199*0.05+L199*0.05+M199*0.05+N199*0.03+O199*0.02+P199*0.05,1))</f>
        <v/>
      </c>
      <c r="S199" s="48">
        <f>IF(A199="","",RANK(R199,$R$2:$R$500,0))</f>
        <v/>
      </c>
    </row>
    <row r="200" ht="22" customHeight="1">
      <c r="A200" s="46" t="n"/>
      <c r="B200" s="50" t="n"/>
      <c r="C200" s="50" t="n"/>
      <c r="D200" s="50" t="n"/>
      <c r="E200" s="50" t="n"/>
      <c r="F200" s="46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>
        <f>IF(A200="","",ROUND(B200/10000*0.25+C200/10000*0.05+D200/10000*0.05+E200/10000*0.05+IF(F200="Yes",10,IF(F200="No",0,5))*0.10+IF(G200="Yes",10,IF(G200="No",0,5))*0.05+H200*0.10+I200*0.10+J200*0.05+K200*0.05+L200*0.05+M200*0.05+N200*0.03+O200*0.02+P200*0.05,1))</f>
        <v/>
      </c>
      <c r="S200" s="46">
        <f>IF(A200="","",RANK(R200,$R$2:$R$500,0))</f>
        <v/>
      </c>
    </row>
    <row r="201" ht="22" customHeight="1">
      <c r="A201" s="48" t="n"/>
      <c r="B201" s="51" t="n"/>
      <c r="C201" s="51" t="n"/>
      <c r="D201" s="51" t="n"/>
      <c r="E201" s="51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>
        <f>IF(A201="","",ROUND(B201/10000*0.25+C201/10000*0.05+D201/10000*0.05+E201/10000*0.05+IF(F201="Yes",10,IF(F201="No",0,5))*0.10+IF(G201="Yes",10,IF(G201="No",0,5))*0.05+H201*0.10+I201*0.10+J201*0.05+K201*0.05+L201*0.05+M201*0.05+N201*0.03+O201*0.02+P201*0.05,1))</f>
        <v/>
      </c>
      <c r="S201" s="48">
        <f>IF(A201="","",RANK(R201,$R$2:$R$500,0))</f>
        <v/>
      </c>
    </row>
    <row r="202" ht="22" customHeight="1">
      <c r="A202" s="46" t="n"/>
      <c r="B202" s="50" t="n"/>
      <c r="C202" s="50" t="n"/>
      <c r="D202" s="50" t="n"/>
      <c r="E202" s="50" t="n"/>
      <c r="F202" s="46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>
        <f>IF(A202="","",ROUND(B202/10000*0.25+C202/10000*0.05+D202/10000*0.05+E202/10000*0.05+IF(F202="Yes",10,IF(F202="No",0,5))*0.10+IF(G202="Yes",10,IF(G202="No",0,5))*0.05+H202*0.10+I202*0.10+J202*0.05+K202*0.05+L202*0.05+M202*0.05+N202*0.03+O202*0.02+P202*0.05,1))</f>
        <v/>
      </c>
      <c r="S202" s="46">
        <f>IF(A202="","",RANK(R202,$R$2:$R$500,0))</f>
        <v/>
      </c>
    </row>
    <row r="203" ht="22" customHeight="1">
      <c r="A203" s="48" t="n"/>
      <c r="B203" s="51" t="n"/>
      <c r="C203" s="51" t="n"/>
      <c r="D203" s="51" t="n"/>
      <c r="E203" s="51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>
        <f>IF(A203="","",ROUND(B203/10000*0.25+C203/10000*0.05+D203/10000*0.05+E203/10000*0.05+IF(F203="Yes",10,IF(F203="No",0,5))*0.10+IF(G203="Yes",10,IF(G203="No",0,5))*0.05+H203*0.10+I203*0.10+J203*0.05+K203*0.05+L203*0.05+M203*0.05+N203*0.03+O203*0.02+P203*0.05,1))</f>
        <v/>
      </c>
      <c r="S203" s="48">
        <f>IF(A203="","",RANK(R203,$R$2:$R$500,0))</f>
        <v/>
      </c>
    </row>
    <row r="204" ht="22" customHeight="1">
      <c r="A204" s="46" t="n"/>
      <c r="B204" s="50" t="n"/>
      <c r="C204" s="50" t="n"/>
      <c r="D204" s="50" t="n"/>
      <c r="E204" s="50" t="n"/>
      <c r="F204" s="46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>
        <f>IF(A204="","",ROUND(B204/10000*0.25+C204/10000*0.05+D204/10000*0.05+E204/10000*0.05+IF(F204="Yes",10,IF(F204="No",0,5))*0.10+IF(G204="Yes",10,IF(G204="No",0,5))*0.05+H204*0.10+I204*0.10+J204*0.05+K204*0.05+L204*0.05+M204*0.05+N204*0.03+O204*0.02+P204*0.05,1))</f>
        <v/>
      </c>
      <c r="S204" s="46">
        <f>IF(A204="","",RANK(R204,$R$2:$R$500,0))</f>
        <v/>
      </c>
    </row>
    <row r="205" ht="22" customHeight="1">
      <c r="A205" s="48" t="n"/>
      <c r="B205" s="51" t="n"/>
      <c r="C205" s="51" t="n"/>
      <c r="D205" s="51" t="n"/>
      <c r="E205" s="51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>
        <f>IF(A205="","",ROUND(B205/10000*0.25+C205/10000*0.05+D205/10000*0.05+E205/10000*0.05+IF(F205="Yes",10,IF(F205="No",0,5))*0.10+IF(G205="Yes",10,IF(G205="No",0,5))*0.05+H205*0.10+I205*0.10+J205*0.05+K205*0.05+L205*0.05+M205*0.05+N205*0.03+O205*0.02+P205*0.05,1))</f>
        <v/>
      </c>
      <c r="S205" s="48">
        <f>IF(A205="","",RANK(R205,$R$2:$R$500,0))</f>
        <v/>
      </c>
    </row>
    <row r="206" ht="22" customHeight="1">
      <c r="A206" s="46" t="n"/>
      <c r="B206" s="50" t="n"/>
      <c r="C206" s="50" t="n"/>
      <c r="D206" s="50" t="n"/>
      <c r="E206" s="50" t="n"/>
      <c r="F206" s="46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>
        <f>IF(A206="","",ROUND(B206/10000*0.25+C206/10000*0.05+D206/10000*0.05+E206/10000*0.05+IF(F206="Yes",10,IF(F206="No",0,5))*0.10+IF(G206="Yes",10,IF(G206="No",0,5))*0.05+H206*0.10+I206*0.10+J206*0.05+K206*0.05+L206*0.05+M206*0.05+N206*0.03+O206*0.02+P206*0.05,1))</f>
        <v/>
      </c>
      <c r="S206" s="46">
        <f>IF(A206="","",RANK(R206,$R$2:$R$500,0))</f>
        <v/>
      </c>
    </row>
    <row r="207" ht="22" customHeight="1">
      <c r="A207" s="48" t="n"/>
      <c r="B207" s="51" t="n"/>
      <c r="C207" s="51" t="n"/>
      <c r="D207" s="51" t="n"/>
      <c r="E207" s="51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>
        <f>IF(A207="","",ROUND(B207/10000*0.25+C207/10000*0.05+D207/10000*0.05+E207/10000*0.05+IF(F207="Yes",10,IF(F207="No",0,5))*0.10+IF(G207="Yes",10,IF(G207="No",0,5))*0.05+H207*0.10+I207*0.10+J207*0.05+K207*0.05+L207*0.05+M207*0.05+N207*0.03+O207*0.02+P207*0.05,1))</f>
        <v/>
      </c>
      <c r="S207" s="48">
        <f>IF(A207="","",RANK(R207,$R$2:$R$500,0))</f>
        <v/>
      </c>
    </row>
    <row r="208" ht="22" customHeight="1">
      <c r="A208" s="46" t="n"/>
      <c r="B208" s="50" t="n"/>
      <c r="C208" s="50" t="n"/>
      <c r="D208" s="50" t="n"/>
      <c r="E208" s="50" t="n"/>
      <c r="F208" s="46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>
        <f>IF(A208="","",ROUND(B208/10000*0.25+C208/10000*0.05+D208/10000*0.05+E208/10000*0.05+IF(F208="Yes",10,IF(F208="No",0,5))*0.10+IF(G208="Yes",10,IF(G208="No",0,5))*0.05+H208*0.10+I208*0.10+J208*0.05+K208*0.05+L208*0.05+M208*0.05+N208*0.03+O208*0.02+P208*0.05,1))</f>
        <v/>
      </c>
      <c r="S208" s="46">
        <f>IF(A208="","",RANK(R208,$R$2:$R$500,0))</f>
        <v/>
      </c>
    </row>
    <row r="209" ht="22" customHeight="1">
      <c r="A209" s="48" t="n"/>
      <c r="B209" s="51" t="n"/>
      <c r="C209" s="51" t="n"/>
      <c r="D209" s="51" t="n"/>
      <c r="E209" s="51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>
        <f>IF(A209="","",ROUND(B209/10000*0.25+C209/10000*0.05+D209/10000*0.05+E209/10000*0.05+IF(F209="Yes",10,IF(F209="No",0,5))*0.10+IF(G209="Yes",10,IF(G209="No",0,5))*0.05+H209*0.10+I209*0.10+J209*0.05+K209*0.05+L209*0.05+M209*0.05+N209*0.03+O209*0.02+P209*0.05,1))</f>
        <v/>
      </c>
      <c r="S209" s="48">
        <f>IF(A209="","",RANK(R209,$R$2:$R$500,0))</f>
        <v/>
      </c>
    </row>
    <row r="210" ht="22" customHeight="1">
      <c r="A210" s="46" t="n"/>
      <c r="B210" s="50" t="n"/>
      <c r="C210" s="50" t="n"/>
      <c r="D210" s="50" t="n"/>
      <c r="E210" s="50" t="n"/>
      <c r="F210" s="46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>
        <f>IF(A210="","",ROUND(B210/10000*0.25+C210/10000*0.05+D210/10000*0.05+E210/10000*0.05+IF(F210="Yes",10,IF(F210="No",0,5))*0.10+IF(G210="Yes",10,IF(G210="No",0,5))*0.05+H210*0.10+I210*0.10+J210*0.05+K210*0.05+L210*0.05+M210*0.05+N210*0.03+O210*0.02+P210*0.05,1))</f>
        <v/>
      </c>
      <c r="S210" s="46">
        <f>IF(A210="","",RANK(R210,$R$2:$R$500,0))</f>
        <v/>
      </c>
    </row>
    <row r="211" ht="22" customHeight="1">
      <c r="A211" s="48" t="n"/>
      <c r="B211" s="51" t="n"/>
      <c r="C211" s="51" t="n"/>
      <c r="D211" s="51" t="n"/>
      <c r="E211" s="51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>
        <f>IF(A211="","",ROUND(B211/10000*0.25+C211/10000*0.05+D211/10000*0.05+E211/10000*0.05+IF(F211="Yes",10,IF(F211="No",0,5))*0.10+IF(G211="Yes",10,IF(G211="No",0,5))*0.05+H211*0.10+I211*0.10+J211*0.05+K211*0.05+L211*0.05+M211*0.05+N211*0.03+O211*0.02+P211*0.05,1))</f>
        <v/>
      </c>
      <c r="S211" s="48">
        <f>IF(A211="","",RANK(R211,$R$2:$R$500,0))</f>
        <v/>
      </c>
    </row>
    <row r="212" ht="22" customHeight="1">
      <c r="A212" s="46" t="n"/>
      <c r="B212" s="50" t="n"/>
      <c r="C212" s="50" t="n"/>
      <c r="D212" s="50" t="n"/>
      <c r="E212" s="50" t="n"/>
      <c r="F212" s="46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>
        <f>IF(A212="","",ROUND(B212/10000*0.25+C212/10000*0.05+D212/10000*0.05+E212/10000*0.05+IF(F212="Yes",10,IF(F212="No",0,5))*0.10+IF(G212="Yes",10,IF(G212="No",0,5))*0.05+H212*0.10+I212*0.10+J212*0.05+K212*0.05+L212*0.05+M212*0.05+N212*0.03+O212*0.02+P212*0.05,1))</f>
        <v/>
      </c>
      <c r="S212" s="46">
        <f>IF(A212="","",RANK(R212,$R$2:$R$500,0))</f>
        <v/>
      </c>
    </row>
    <row r="213" ht="22" customHeight="1">
      <c r="A213" s="48" t="n"/>
      <c r="B213" s="51" t="n"/>
      <c r="C213" s="51" t="n"/>
      <c r="D213" s="51" t="n"/>
      <c r="E213" s="51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>
        <f>IF(A213="","",ROUND(B213/10000*0.25+C213/10000*0.05+D213/10000*0.05+E213/10000*0.05+IF(F213="Yes",10,IF(F213="No",0,5))*0.10+IF(G213="Yes",10,IF(G213="No",0,5))*0.05+H213*0.10+I213*0.10+J213*0.05+K213*0.05+L213*0.05+M213*0.05+N213*0.03+O213*0.02+P213*0.05,1))</f>
        <v/>
      </c>
      <c r="S213" s="48">
        <f>IF(A213="","",RANK(R213,$R$2:$R$500,0))</f>
        <v/>
      </c>
    </row>
    <row r="214" ht="22" customHeight="1">
      <c r="A214" s="46" t="n"/>
      <c r="B214" s="50" t="n"/>
      <c r="C214" s="50" t="n"/>
      <c r="D214" s="50" t="n"/>
      <c r="E214" s="50" t="n"/>
      <c r="F214" s="46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>
        <f>IF(A214="","",ROUND(B214/10000*0.25+C214/10000*0.05+D214/10000*0.05+E214/10000*0.05+IF(F214="Yes",10,IF(F214="No",0,5))*0.10+IF(G214="Yes",10,IF(G214="No",0,5))*0.05+H214*0.10+I214*0.10+J214*0.05+K214*0.05+L214*0.05+M214*0.05+N214*0.03+O214*0.02+P214*0.05,1))</f>
        <v/>
      </c>
      <c r="S214" s="46">
        <f>IF(A214="","",RANK(R214,$R$2:$R$500,0))</f>
        <v/>
      </c>
    </row>
    <row r="215" ht="22" customHeight="1">
      <c r="A215" s="48" t="n"/>
      <c r="B215" s="51" t="n"/>
      <c r="C215" s="51" t="n"/>
      <c r="D215" s="51" t="n"/>
      <c r="E215" s="51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>
        <f>IF(A215="","",ROUND(B215/10000*0.25+C215/10000*0.05+D215/10000*0.05+E215/10000*0.05+IF(F215="Yes",10,IF(F215="No",0,5))*0.10+IF(G215="Yes",10,IF(G215="No",0,5))*0.05+H215*0.10+I215*0.10+J215*0.05+K215*0.05+L215*0.05+M215*0.05+N215*0.03+O215*0.02+P215*0.05,1))</f>
        <v/>
      </c>
      <c r="S215" s="48">
        <f>IF(A215="","",RANK(R215,$R$2:$R$500,0))</f>
        <v/>
      </c>
    </row>
    <row r="216" ht="22" customHeight="1">
      <c r="A216" s="46" t="n"/>
      <c r="B216" s="50" t="n"/>
      <c r="C216" s="50" t="n"/>
      <c r="D216" s="50" t="n"/>
      <c r="E216" s="50" t="n"/>
      <c r="F216" s="46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>
        <f>IF(A216="","",ROUND(B216/10000*0.25+C216/10000*0.05+D216/10000*0.05+E216/10000*0.05+IF(F216="Yes",10,IF(F216="No",0,5))*0.10+IF(G216="Yes",10,IF(G216="No",0,5))*0.05+H216*0.10+I216*0.10+J216*0.05+K216*0.05+L216*0.05+M216*0.05+N216*0.03+O216*0.02+P216*0.05,1))</f>
        <v/>
      </c>
      <c r="S216" s="46">
        <f>IF(A216="","",RANK(R216,$R$2:$R$500,0))</f>
        <v/>
      </c>
    </row>
    <row r="217" ht="22" customHeight="1">
      <c r="A217" s="48" t="n"/>
      <c r="B217" s="51" t="n"/>
      <c r="C217" s="51" t="n"/>
      <c r="D217" s="51" t="n"/>
      <c r="E217" s="51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>
        <f>IF(A217="","",ROUND(B217/10000*0.25+C217/10000*0.05+D217/10000*0.05+E217/10000*0.05+IF(F217="Yes",10,IF(F217="No",0,5))*0.10+IF(G217="Yes",10,IF(G217="No",0,5))*0.05+H217*0.10+I217*0.10+J217*0.05+K217*0.05+L217*0.05+M217*0.05+N217*0.03+O217*0.02+P217*0.05,1))</f>
        <v/>
      </c>
      <c r="S217" s="48">
        <f>IF(A217="","",RANK(R217,$R$2:$R$500,0))</f>
        <v/>
      </c>
    </row>
    <row r="218" ht="22" customHeight="1">
      <c r="A218" s="46" t="n"/>
      <c r="B218" s="50" t="n"/>
      <c r="C218" s="50" t="n"/>
      <c r="D218" s="50" t="n"/>
      <c r="E218" s="50" t="n"/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>
        <f>IF(A218="","",ROUND(B218/10000*0.25+C218/10000*0.05+D218/10000*0.05+E218/10000*0.05+IF(F218="Yes",10,IF(F218="No",0,5))*0.10+IF(G218="Yes",10,IF(G218="No",0,5))*0.05+H218*0.10+I218*0.10+J218*0.05+K218*0.05+L218*0.05+M218*0.05+N218*0.03+O218*0.02+P218*0.05,1))</f>
        <v/>
      </c>
      <c r="S218" s="46">
        <f>IF(A218="","",RANK(R218,$R$2:$R$500,0))</f>
        <v/>
      </c>
    </row>
    <row r="219" ht="22" customHeight="1">
      <c r="A219" s="48" t="n"/>
      <c r="B219" s="51" t="n"/>
      <c r="C219" s="51" t="n"/>
      <c r="D219" s="51" t="n"/>
      <c r="E219" s="51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>
        <f>IF(A219="","",ROUND(B219/10000*0.25+C219/10000*0.05+D219/10000*0.05+E219/10000*0.05+IF(F219="Yes",10,IF(F219="No",0,5))*0.10+IF(G219="Yes",10,IF(G219="No",0,5))*0.05+H219*0.10+I219*0.10+J219*0.05+K219*0.05+L219*0.05+M219*0.05+N219*0.03+O219*0.02+P219*0.05,1))</f>
        <v/>
      </c>
      <c r="S219" s="48">
        <f>IF(A219="","",RANK(R219,$R$2:$R$500,0))</f>
        <v/>
      </c>
    </row>
    <row r="220" ht="22" customHeight="1">
      <c r="A220" s="46" t="n"/>
      <c r="B220" s="50" t="n"/>
      <c r="C220" s="50" t="n"/>
      <c r="D220" s="50" t="n"/>
      <c r="E220" s="50" t="n"/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>
        <f>IF(A220="","",ROUND(B220/10000*0.25+C220/10000*0.05+D220/10000*0.05+E220/10000*0.05+IF(F220="Yes",10,IF(F220="No",0,5))*0.10+IF(G220="Yes",10,IF(G220="No",0,5))*0.05+H220*0.10+I220*0.10+J220*0.05+K220*0.05+L220*0.05+M220*0.05+N220*0.03+O220*0.02+P220*0.05,1))</f>
        <v/>
      </c>
      <c r="S220" s="46">
        <f>IF(A220="","",RANK(R220,$R$2:$R$500,0))</f>
        <v/>
      </c>
    </row>
    <row r="221" ht="22" customHeight="1">
      <c r="A221" s="48" t="n"/>
      <c r="B221" s="51" t="n"/>
      <c r="C221" s="51" t="n"/>
      <c r="D221" s="51" t="n"/>
      <c r="E221" s="51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>
        <f>IF(A221="","",ROUND(B221/10000*0.25+C221/10000*0.05+D221/10000*0.05+E221/10000*0.05+IF(F221="Yes",10,IF(F221="No",0,5))*0.10+IF(G221="Yes",10,IF(G221="No",0,5))*0.05+H221*0.10+I221*0.10+J221*0.05+K221*0.05+L221*0.05+M221*0.05+N221*0.03+O221*0.02+P221*0.05,1))</f>
        <v/>
      </c>
      <c r="S221" s="48">
        <f>IF(A221="","",RANK(R221,$R$2:$R$500,0))</f>
        <v/>
      </c>
    </row>
    <row r="222" ht="22" customHeight="1">
      <c r="A222" s="46" t="n"/>
      <c r="B222" s="50" t="n"/>
      <c r="C222" s="50" t="n"/>
      <c r="D222" s="50" t="n"/>
      <c r="E222" s="50" t="n"/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>
        <f>IF(A222="","",ROUND(B222/10000*0.25+C222/10000*0.05+D222/10000*0.05+E222/10000*0.05+IF(F222="Yes",10,IF(F222="No",0,5))*0.10+IF(G222="Yes",10,IF(G222="No",0,5))*0.05+H222*0.10+I222*0.10+J222*0.05+K222*0.05+L222*0.05+M222*0.05+N222*0.03+O222*0.02+P222*0.05,1))</f>
        <v/>
      </c>
      <c r="S222" s="46">
        <f>IF(A222="","",RANK(R222,$R$2:$R$500,0))</f>
        <v/>
      </c>
    </row>
    <row r="223" ht="22" customHeight="1">
      <c r="A223" s="48" t="n"/>
      <c r="B223" s="51" t="n"/>
      <c r="C223" s="51" t="n"/>
      <c r="D223" s="51" t="n"/>
      <c r="E223" s="51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>
        <f>IF(A223="","",ROUND(B223/10000*0.25+C223/10000*0.05+D223/10000*0.05+E223/10000*0.05+IF(F223="Yes",10,IF(F223="No",0,5))*0.10+IF(G223="Yes",10,IF(G223="No",0,5))*0.05+H223*0.10+I223*0.10+J223*0.05+K223*0.05+L223*0.05+M223*0.05+N223*0.03+O223*0.02+P223*0.05,1))</f>
        <v/>
      </c>
      <c r="S223" s="48">
        <f>IF(A223="","",RANK(R223,$R$2:$R$500,0))</f>
        <v/>
      </c>
    </row>
    <row r="224" ht="22" customHeight="1">
      <c r="A224" s="46" t="n"/>
      <c r="B224" s="50" t="n"/>
      <c r="C224" s="50" t="n"/>
      <c r="D224" s="50" t="n"/>
      <c r="E224" s="50" t="n"/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>
        <f>IF(A224="","",ROUND(B224/10000*0.25+C224/10000*0.05+D224/10000*0.05+E224/10000*0.05+IF(F224="Yes",10,IF(F224="No",0,5))*0.10+IF(G224="Yes",10,IF(G224="No",0,5))*0.05+H224*0.10+I224*0.10+J224*0.05+K224*0.05+L224*0.05+M224*0.05+N224*0.03+O224*0.02+P224*0.05,1))</f>
        <v/>
      </c>
      <c r="S224" s="46">
        <f>IF(A224="","",RANK(R224,$R$2:$R$500,0))</f>
        <v/>
      </c>
    </row>
    <row r="225" ht="22" customHeight="1">
      <c r="A225" s="48" t="n"/>
      <c r="B225" s="51" t="n"/>
      <c r="C225" s="51" t="n"/>
      <c r="D225" s="51" t="n"/>
      <c r="E225" s="51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>
        <f>IF(A225="","",ROUND(B225/10000*0.25+C225/10000*0.05+D225/10000*0.05+E225/10000*0.05+IF(F225="Yes",10,IF(F225="No",0,5))*0.10+IF(G225="Yes",10,IF(G225="No",0,5))*0.05+H225*0.10+I225*0.10+J225*0.05+K225*0.05+L225*0.05+M225*0.05+N225*0.03+O225*0.02+P225*0.05,1))</f>
        <v/>
      </c>
      <c r="S225" s="48">
        <f>IF(A225="","",RANK(R225,$R$2:$R$500,0))</f>
        <v/>
      </c>
    </row>
    <row r="226" ht="22" customHeight="1">
      <c r="A226" s="46" t="n"/>
      <c r="B226" s="50" t="n"/>
      <c r="C226" s="50" t="n"/>
      <c r="D226" s="50" t="n"/>
      <c r="E226" s="50" t="n"/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>
        <f>IF(A226="","",ROUND(B226/10000*0.25+C226/10000*0.05+D226/10000*0.05+E226/10000*0.05+IF(F226="Yes",10,IF(F226="No",0,5))*0.10+IF(G226="Yes",10,IF(G226="No",0,5))*0.05+H226*0.10+I226*0.10+J226*0.05+K226*0.05+L226*0.05+M226*0.05+N226*0.03+O226*0.02+P226*0.05,1))</f>
        <v/>
      </c>
      <c r="S226" s="46">
        <f>IF(A226="","",RANK(R226,$R$2:$R$500,0))</f>
        <v/>
      </c>
    </row>
    <row r="227" ht="22" customHeight="1">
      <c r="A227" s="48" t="n"/>
      <c r="B227" s="51" t="n"/>
      <c r="C227" s="51" t="n"/>
      <c r="D227" s="51" t="n"/>
      <c r="E227" s="51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>
        <f>IF(A227="","",ROUND(B227/10000*0.25+C227/10000*0.05+D227/10000*0.05+E227/10000*0.05+IF(F227="Yes",10,IF(F227="No",0,5))*0.10+IF(G227="Yes",10,IF(G227="No",0,5))*0.05+H227*0.10+I227*0.10+J227*0.05+K227*0.05+L227*0.05+M227*0.05+N227*0.03+O227*0.02+P227*0.05,1))</f>
        <v/>
      </c>
      <c r="S227" s="48">
        <f>IF(A227="","",RANK(R227,$R$2:$R$500,0))</f>
        <v/>
      </c>
    </row>
    <row r="228" ht="22" customHeight="1">
      <c r="A228" s="46" t="n"/>
      <c r="B228" s="50" t="n"/>
      <c r="C228" s="50" t="n"/>
      <c r="D228" s="50" t="n"/>
      <c r="E228" s="50" t="n"/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>
        <f>IF(A228="","",ROUND(B228/10000*0.25+C228/10000*0.05+D228/10000*0.05+E228/10000*0.05+IF(F228="Yes",10,IF(F228="No",0,5))*0.10+IF(G228="Yes",10,IF(G228="No",0,5))*0.05+H228*0.10+I228*0.10+J228*0.05+K228*0.05+L228*0.05+M228*0.05+N228*0.03+O228*0.02+P228*0.05,1))</f>
        <v/>
      </c>
      <c r="S228" s="46">
        <f>IF(A228="","",RANK(R228,$R$2:$R$500,0))</f>
        <v/>
      </c>
    </row>
    <row r="229" ht="22" customHeight="1">
      <c r="A229" s="48" t="n"/>
      <c r="B229" s="51" t="n"/>
      <c r="C229" s="51" t="n"/>
      <c r="D229" s="51" t="n"/>
      <c r="E229" s="51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>
        <f>IF(A229="","",ROUND(B229/10000*0.25+C229/10000*0.05+D229/10000*0.05+E229/10000*0.05+IF(F229="Yes",10,IF(F229="No",0,5))*0.10+IF(G229="Yes",10,IF(G229="No",0,5))*0.05+H229*0.10+I229*0.10+J229*0.05+K229*0.05+L229*0.05+M229*0.05+N229*0.03+O229*0.02+P229*0.05,1))</f>
        <v/>
      </c>
      <c r="S229" s="48">
        <f>IF(A229="","",RANK(R229,$R$2:$R$500,0))</f>
        <v/>
      </c>
    </row>
    <row r="230" ht="22" customHeight="1">
      <c r="A230" s="46" t="n"/>
      <c r="B230" s="50" t="n"/>
      <c r="C230" s="50" t="n"/>
      <c r="D230" s="50" t="n"/>
      <c r="E230" s="50" t="n"/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>
        <f>IF(A230="","",ROUND(B230/10000*0.25+C230/10000*0.05+D230/10000*0.05+E230/10000*0.05+IF(F230="Yes",10,IF(F230="No",0,5))*0.10+IF(G230="Yes",10,IF(G230="No",0,5))*0.05+H230*0.10+I230*0.10+J230*0.05+K230*0.05+L230*0.05+M230*0.05+N230*0.03+O230*0.02+P230*0.05,1))</f>
        <v/>
      </c>
      <c r="S230" s="46">
        <f>IF(A230="","",RANK(R230,$R$2:$R$500,0))</f>
        <v/>
      </c>
    </row>
    <row r="231" ht="22" customHeight="1">
      <c r="A231" s="48" t="n"/>
      <c r="B231" s="51" t="n"/>
      <c r="C231" s="51" t="n"/>
      <c r="D231" s="51" t="n"/>
      <c r="E231" s="51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>
        <f>IF(A231="","",ROUND(B231/10000*0.25+C231/10000*0.05+D231/10000*0.05+E231/10000*0.05+IF(F231="Yes",10,IF(F231="No",0,5))*0.10+IF(G231="Yes",10,IF(G231="No",0,5))*0.05+H231*0.10+I231*0.10+J231*0.05+K231*0.05+L231*0.05+M231*0.05+N231*0.03+O231*0.02+P231*0.05,1))</f>
        <v/>
      </c>
      <c r="S231" s="48">
        <f>IF(A231="","",RANK(R231,$R$2:$R$500,0))</f>
        <v/>
      </c>
    </row>
    <row r="232" ht="22" customHeight="1">
      <c r="A232" s="46" t="n"/>
      <c r="B232" s="50" t="n"/>
      <c r="C232" s="50" t="n"/>
      <c r="D232" s="50" t="n"/>
      <c r="E232" s="50" t="n"/>
      <c r="F232" s="46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>
        <f>IF(A232="","",ROUND(B232/10000*0.25+C232/10000*0.05+D232/10000*0.05+E232/10000*0.05+IF(F232="Yes",10,IF(F232="No",0,5))*0.10+IF(G232="Yes",10,IF(G232="No",0,5))*0.05+H232*0.10+I232*0.10+J232*0.05+K232*0.05+L232*0.05+M232*0.05+N232*0.03+O232*0.02+P232*0.05,1))</f>
        <v/>
      </c>
      <c r="S232" s="46">
        <f>IF(A232="","",RANK(R232,$R$2:$R$500,0))</f>
        <v/>
      </c>
    </row>
    <row r="233" ht="22" customHeight="1">
      <c r="A233" s="48" t="n"/>
      <c r="B233" s="51" t="n"/>
      <c r="C233" s="51" t="n"/>
      <c r="D233" s="51" t="n"/>
      <c r="E233" s="51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>
        <f>IF(A233="","",ROUND(B233/10000*0.25+C233/10000*0.05+D233/10000*0.05+E233/10000*0.05+IF(F233="Yes",10,IF(F233="No",0,5))*0.10+IF(G233="Yes",10,IF(G233="No",0,5))*0.05+H233*0.10+I233*0.10+J233*0.05+K233*0.05+L233*0.05+M233*0.05+N233*0.03+O233*0.02+P233*0.05,1))</f>
        <v/>
      </c>
      <c r="S233" s="48">
        <f>IF(A233="","",RANK(R233,$R$2:$R$500,0))</f>
        <v/>
      </c>
    </row>
    <row r="234" ht="22" customHeight="1">
      <c r="A234" s="46" t="n"/>
      <c r="B234" s="50" t="n"/>
      <c r="C234" s="50" t="n"/>
      <c r="D234" s="50" t="n"/>
      <c r="E234" s="50" t="n"/>
      <c r="F234" s="46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>
        <f>IF(A234="","",ROUND(B234/10000*0.25+C234/10000*0.05+D234/10000*0.05+E234/10000*0.05+IF(F234="Yes",10,IF(F234="No",0,5))*0.10+IF(G234="Yes",10,IF(G234="No",0,5))*0.05+H234*0.10+I234*0.10+J234*0.05+K234*0.05+L234*0.05+M234*0.05+N234*0.03+O234*0.02+P234*0.05,1))</f>
        <v/>
      </c>
      <c r="S234" s="46">
        <f>IF(A234="","",RANK(R234,$R$2:$R$500,0))</f>
        <v/>
      </c>
    </row>
    <row r="235" ht="22" customHeight="1">
      <c r="A235" s="48" t="n"/>
      <c r="B235" s="51" t="n"/>
      <c r="C235" s="51" t="n"/>
      <c r="D235" s="51" t="n"/>
      <c r="E235" s="51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>
        <f>IF(A235="","",ROUND(B235/10000*0.25+C235/10000*0.05+D235/10000*0.05+E235/10000*0.05+IF(F235="Yes",10,IF(F235="No",0,5))*0.10+IF(G235="Yes",10,IF(G235="No",0,5))*0.05+H235*0.10+I235*0.10+J235*0.05+K235*0.05+L235*0.05+M235*0.05+N235*0.03+O235*0.02+P235*0.05,1))</f>
        <v/>
      </c>
      <c r="S235" s="48">
        <f>IF(A235="","",RANK(R235,$R$2:$R$500,0))</f>
        <v/>
      </c>
    </row>
    <row r="236" ht="22" customHeight="1">
      <c r="A236" s="46" t="n"/>
      <c r="B236" s="50" t="n"/>
      <c r="C236" s="50" t="n"/>
      <c r="D236" s="50" t="n"/>
      <c r="E236" s="50" t="n"/>
      <c r="F236" s="46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>
        <f>IF(A236="","",ROUND(B236/10000*0.25+C236/10000*0.05+D236/10000*0.05+E236/10000*0.05+IF(F236="Yes",10,IF(F236="No",0,5))*0.10+IF(G236="Yes",10,IF(G236="No",0,5))*0.05+H236*0.10+I236*0.10+J236*0.05+K236*0.05+L236*0.05+M236*0.05+N236*0.03+O236*0.02+P236*0.05,1))</f>
        <v/>
      </c>
      <c r="S236" s="46">
        <f>IF(A236="","",RANK(R236,$R$2:$R$500,0))</f>
        <v/>
      </c>
    </row>
    <row r="237" ht="22" customHeight="1">
      <c r="A237" s="48" t="n"/>
      <c r="B237" s="51" t="n"/>
      <c r="C237" s="51" t="n"/>
      <c r="D237" s="51" t="n"/>
      <c r="E237" s="51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>
        <f>IF(A237="","",ROUND(B237/10000*0.25+C237/10000*0.05+D237/10000*0.05+E237/10000*0.05+IF(F237="Yes",10,IF(F237="No",0,5))*0.10+IF(G237="Yes",10,IF(G237="No",0,5))*0.05+H237*0.10+I237*0.10+J237*0.05+K237*0.05+L237*0.05+M237*0.05+N237*0.03+O237*0.02+P237*0.05,1))</f>
        <v/>
      </c>
      <c r="S237" s="48">
        <f>IF(A237="","",RANK(R237,$R$2:$R$500,0))</f>
        <v/>
      </c>
    </row>
    <row r="238" ht="22" customHeight="1">
      <c r="A238" s="46" t="n"/>
      <c r="B238" s="50" t="n"/>
      <c r="C238" s="50" t="n"/>
      <c r="D238" s="50" t="n"/>
      <c r="E238" s="50" t="n"/>
      <c r="F238" s="46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>
        <f>IF(A238="","",ROUND(B238/10000*0.25+C238/10000*0.05+D238/10000*0.05+E238/10000*0.05+IF(F238="Yes",10,IF(F238="No",0,5))*0.10+IF(G238="Yes",10,IF(G238="No",0,5))*0.05+H238*0.10+I238*0.10+J238*0.05+K238*0.05+L238*0.05+M238*0.05+N238*0.03+O238*0.02+P238*0.05,1))</f>
        <v/>
      </c>
      <c r="S238" s="46">
        <f>IF(A238="","",RANK(R238,$R$2:$R$500,0))</f>
        <v/>
      </c>
    </row>
    <row r="239" ht="22" customHeight="1">
      <c r="A239" s="48" t="n"/>
      <c r="B239" s="51" t="n"/>
      <c r="C239" s="51" t="n"/>
      <c r="D239" s="51" t="n"/>
      <c r="E239" s="51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>
        <f>IF(A239="","",ROUND(B239/10000*0.25+C239/10000*0.05+D239/10000*0.05+E239/10000*0.05+IF(F239="Yes",10,IF(F239="No",0,5))*0.10+IF(G239="Yes",10,IF(G239="No",0,5))*0.05+H239*0.10+I239*0.10+J239*0.05+K239*0.05+L239*0.05+M239*0.05+N239*0.03+O239*0.02+P239*0.05,1))</f>
        <v/>
      </c>
      <c r="S239" s="48">
        <f>IF(A239="","",RANK(R239,$R$2:$R$500,0))</f>
        <v/>
      </c>
    </row>
    <row r="240" ht="22" customHeight="1">
      <c r="A240" s="46" t="n"/>
      <c r="B240" s="50" t="n"/>
      <c r="C240" s="50" t="n"/>
      <c r="D240" s="50" t="n"/>
      <c r="E240" s="50" t="n"/>
      <c r="F240" s="46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>
        <f>IF(A240="","",ROUND(B240/10000*0.25+C240/10000*0.05+D240/10000*0.05+E240/10000*0.05+IF(F240="Yes",10,IF(F240="No",0,5))*0.10+IF(G240="Yes",10,IF(G240="No",0,5))*0.05+H240*0.10+I240*0.10+J240*0.05+K240*0.05+L240*0.05+M240*0.05+N240*0.03+O240*0.02+P240*0.05,1))</f>
        <v/>
      </c>
      <c r="S240" s="46">
        <f>IF(A240="","",RANK(R240,$R$2:$R$500,0))</f>
        <v/>
      </c>
    </row>
    <row r="241" ht="22" customHeight="1">
      <c r="A241" s="48" t="n"/>
      <c r="B241" s="51" t="n"/>
      <c r="C241" s="51" t="n"/>
      <c r="D241" s="51" t="n"/>
      <c r="E241" s="51" t="n"/>
      <c r="F241" s="48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>
        <f>IF(A241="","",ROUND(B241/10000*0.25+C241/10000*0.05+D241/10000*0.05+E241/10000*0.05+IF(F241="Yes",10,IF(F241="No",0,5))*0.10+IF(G241="Yes",10,IF(G241="No",0,5))*0.05+H241*0.10+I241*0.10+J241*0.05+K241*0.05+L241*0.05+M241*0.05+N241*0.03+O241*0.02+P241*0.05,1))</f>
        <v/>
      </c>
      <c r="S241" s="48">
        <f>IF(A241="","",RANK(R241,$R$2:$R$500,0))</f>
        <v/>
      </c>
    </row>
    <row r="242" ht="22" customHeight="1">
      <c r="A242" s="46" t="n"/>
      <c r="B242" s="50" t="n"/>
      <c r="C242" s="50" t="n"/>
      <c r="D242" s="50" t="n"/>
      <c r="E242" s="50" t="n"/>
      <c r="F242" s="46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>
        <f>IF(A242="","",ROUND(B242/10000*0.25+C242/10000*0.05+D242/10000*0.05+E242/10000*0.05+IF(F242="Yes",10,IF(F242="No",0,5))*0.10+IF(G242="Yes",10,IF(G242="No",0,5))*0.05+H242*0.10+I242*0.10+J242*0.05+K242*0.05+L242*0.05+M242*0.05+N242*0.03+O242*0.02+P242*0.05,1))</f>
        <v/>
      </c>
      <c r="S242" s="46">
        <f>IF(A242="","",RANK(R242,$R$2:$R$500,0))</f>
        <v/>
      </c>
    </row>
    <row r="243" ht="22" customHeight="1">
      <c r="A243" s="48" t="n"/>
      <c r="B243" s="51" t="n"/>
      <c r="C243" s="51" t="n"/>
      <c r="D243" s="51" t="n"/>
      <c r="E243" s="51" t="n"/>
      <c r="F243" s="48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>
        <f>IF(A243="","",ROUND(B243/10000*0.25+C243/10000*0.05+D243/10000*0.05+E243/10000*0.05+IF(F243="Yes",10,IF(F243="No",0,5))*0.10+IF(G243="Yes",10,IF(G243="No",0,5))*0.05+H243*0.10+I243*0.10+J243*0.05+K243*0.05+L243*0.05+M243*0.05+N243*0.03+O243*0.02+P243*0.05,1))</f>
        <v/>
      </c>
      <c r="S243" s="48">
        <f>IF(A243="","",RANK(R243,$R$2:$R$500,0))</f>
        <v/>
      </c>
    </row>
    <row r="244" ht="22" customHeight="1">
      <c r="A244" s="46" t="n"/>
      <c r="B244" s="50" t="n"/>
      <c r="C244" s="50" t="n"/>
      <c r="D244" s="50" t="n"/>
      <c r="E244" s="50" t="n"/>
      <c r="F244" s="46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>
        <f>IF(A244="","",ROUND(B244/10000*0.25+C244/10000*0.05+D244/10000*0.05+E244/10000*0.05+IF(F244="Yes",10,IF(F244="No",0,5))*0.10+IF(G244="Yes",10,IF(G244="No",0,5))*0.05+H244*0.10+I244*0.10+J244*0.05+K244*0.05+L244*0.05+M244*0.05+N244*0.03+O244*0.02+P244*0.05,1))</f>
        <v/>
      </c>
      <c r="S244" s="46">
        <f>IF(A244="","",RANK(R244,$R$2:$R$500,0))</f>
        <v/>
      </c>
    </row>
    <row r="245" ht="22" customHeight="1">
      <c r="A245" s="48" t="n"/>
      <c r="B245" s="51" t="n"/>
      <c r="C245" s="51" t="n"/>
      <c r="D245" s="51" t="n"/>
      <c r="E245" s="51" t="n"/>
      <c r="F245" s="48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>
        <f>IF(A245="","",ROUND(B245/10000*0.25+C245/10000*0.05+D245/10000*0.05+E245/10000*0.05+IF(F245="Yes",10,IF(F245="No",0,5))*0.10+IF(G245="Yes",10,IF(G245="No",0,5))*0.05+H245*0.10+I245*0.10+J245*0.05+K245*0.05+L245*0.05+M245*0.05+N245*0.03+O245*0.02+P245*0.05,1))</f>
        <v/>
      </c>
      <c r="S245" s="48">
        <f>IF(A245="","",RANK(R245,$R$2:$R$500,0))</f>
        <v/>
      </c>
    </row>
    <row r="246" ht="22" customHeight="1">
      <c r="A246" s="46" t="n"/>
      <c r="B246" s="50" t="n"/>
      <c r="C246" s="50" t="n"/>
      <c r="D246" s="50" t="n"/>
      <c r="E246" s="50" t="n"/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>
        <f>IF(A246="","",ROUND(B246/10000*0.25+C246/10000*0.05+D246/10000*0.05+E246/10000*0.05+IF(F246="Yes",10,IF(F246="No",0,5))*0.10+IF(G246="Yes",10,IF(G246="No",0,5))*0.05+H246*0.10+I246*0.10+J246*0.05+K246*0.05+L246*0.05+M246*0.05+N246*0.03+O246*0.02+P246*0.05,1))</f>
        <v/>
      </c>
      <c r="S246" s="46">
        <f>IF(A246="","",RANK(R246,$R$2:$R$500,0))</f>
        <v/>
      </c>
    </row>
    <row r="247" ht="22" customHeight="1">
      <c r="A247" s="48" t="n"/>
      <c r="B247" s="51" t="n"/>
      <c r="C247" s="51" t="n"/>
      <c r="D247" s="51" t="n"/>
      <c r="E247" s="51" t="n"/>
      <c r="F247" s="48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>
        <f>IF(A247="","",ROUND(B247/10000*0.25+C247/10000*0.05+D247/10000*0.05+E247/10000*0.05+IF(F247="Yes",10,IF(F247="No",0,5))*0.10+IF(G247="Yes",10,IF(G247="No",0,5))*0.05+H247*0.10+I247*0.10+J247*0.05+K247*0.05+L247*0.05+M247*0.05+N247*0.03+O247*0.02+P247*0.05,1))</f>
        <v/>
      </c>
      <c r="S247" s="48">
        <f>IF(A247="","",RANK(R247,$R$2:$R$500,0))</f>
        <v/>
      </c>
    </row>
    <row r="248" ht="22" customHeight="1">
      <c r="A248" s="46" t="n"/>
      <c r="B248" s="50" t="n"/>
      <c r="C248" s="50" t="n"/>
      <c r="D248" s="50" t="n"/>
      <c r="E248" s="50" t="n"/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>
        <f>IF(A248="","",ROUND(B248/10000*0.25+C248/10000*0.05+D248/10000*0.05+E248/10000*0.05+IF(F248="Yes",10,IF(F248="No",0,5))*0.10+IF(G248="Yes",10,IF(G248="No",0,5))*0.05+H248*0.10+I248*0.10+J248*0.05+K248*0.05+L248*0.05+M248*0.05+N248*0.03+O248*0.02+P248*0.05,1))</f>
        <v/>
      </c>
      <c r="S248" s="46">
        <f>IF(A248="","",RANK(R248,$R$2:$R$500,0))</f>
        <v/>
      </c>
    </row>
    <row r="249" ht="22" customHeight="1">
      <c r="A249" s="48" t="n"/>
      <c r="B249" s="51" t="n"/>
      <c r="C249" s="51" t="n"/>
      <c r="D249" s="51" t="n"/>
      <c r="E249" s="51" t="n"/>
      <c r="F249" s="48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>
        <f>IF(A249="","",ROUND(B249/10000*0.25+C249/10000*0.05+D249/10000*0.05+E249/10000*0.05+IF(F249="Yes",10,IF(F249="No",0,5))*0.10+IF(G249="Yes",10,IF(G249="No",0,5))*0.05+H249*0.10+I249*0.10+J249*0.05+K249*0.05+L249*0.05+M249*0.05+N249*0.03+O249*0.02+P249*0.05,1))</f>
        <v/>
      </c>
      <c r="S249" s="48">
        <f>IF(A249="","",RANK(R249,$R$2:$R$500,0))</f>
        <v/>
      </c>
    </row>
    <row r="250" ht="22" customHeight="1">
      <c r="A250" s="46" t="n"/>
      <c r="B250" s="50" t="n"/>
      <c r="C250" s="50" t="n"/>
      <c r="D250" s="50" t="n"/>
      <c r="E250" s="50" t="n"/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>
        <f>IF(A250="","",ROUND(B250/10000*0.25+C250/10000*0.05+D250/10000*0.05+E250/10000*0.05+IF(F250="Yes",10,IF(F250="No",0,5))*0.10+IF(G250="Yes",10,IF(G250="No",0,5))*0.05+H250*0.10+I250*0.10+J250*0.05+K250*0.05+L250*0.05+M250*0.05+N250*0.03+O250*0.02+P250*0.05,1))</f>
        <v/>
      </c>
      <c r="S250" s="46">
        <f>IF(A250="","",RANK(R250,$R$2:$R$500,0))</f>
        <v/>
      </c>
    </row>
    <row r="251" ht="22" customHeight="1">
      <c r="A251" s="48" t="n"/>
      <c r="B251" s="51" t="n"/>
      <c r="C251" s="51" t="n"/>
      <c r="D251" s="51" t="n"/>
      <c r="E251" s="51" t="n"/>
      <c r="F251" s="48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>
        <f>IF(A251="","",ROUND(B251/10000*0.25+C251/10000*0.05+D251/10000*0.05+E251/10000*0.05+IF(F251="Yes",10,IF(F251="No",0,5))*0.10+IF(G251="Yes",10,IF(G251="No",0,5))*0.05+H251*0.10+I251*0.10+J251*0.05+K251*0.05+L251*0.05+M251*0.05+N251*0.03+O251*0.02+P251*0.05,1))</f>
        <v/>
      </c>
      <c r="S251" s="48">
        <f>IF(A251="","",RANK(R251,$R$2:$R$500,0))</f>
        <v/>
      </c>
    </row>
    <row r="252" ht="22" customHeight="1">
      <c r="A252" s="46" t="n"/>
      <c r="B252" s="50" t="n"/>
      <c r="C252" s="50" t="n"/>
      <c r="D252" s="50" t="n"/>
      <c r="E252" s="50" t="n"/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>
        <f>IF(A252="","",ROUND(B252/10000*0.25+C252/10000*0.05+D252/10000*0.05+E252/10000*0.05+IF(F252="Yes",10,IF(F252="No",0,5))*0.10+IF(G252="Yes",10,IF(G252="No",0,5))*0.05+H252*0.10+I252*0.10+J252*0.05+K252*0.05+L252*0.05+M252*0.05+N252*0.03+O252*0.02+P252*0.05,1))</f>
        <v/>
      </c>
      <c r="S252" s="46">
        <f>IF(A252="","",RANK(R252,$R$2:$R$500,0))</f>
        <v/>
      </c>
    </row>
    <row r="253" ht="22" customHeight="1">
      <c r="A253" s="48" t="n"/>
      <c r="B253" s="51" t="n"/>
      <c r="C253" s="51" t="n"/>
      <c r="D253" s="51" t="n"/>
      <c r="E253" s="51" t="n"/>
      <c r="F253" s="48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>
        <f>IF(A253="","",ROUND(B253/10000*0.25+C253/10000*0.05+D253/10000*0.05+E253/10000*0.05+IF(F253="Yes",10,IF(F253="No",0,5))*0.10+IF(G253="Yes",10,IF(G253="No",0,5))*0.05+H253*0.10+I253*0.10+J253*0.05+K253*0.05+L253*0.05+M253*0.05+N253*0.03+O253*0.02+P253*0.05,1))</f>
        <v/>
      </c>
      <c r="S253" s="48">
        <f>IF(A253="","",RANK(R253,$R$2:$R$500,0))</f>
        <v/>
      </c>
    </row>
    <row r="254" ht="22" customHeight="1">
      <c r="A254" s="46" t="n"/>
      <c r="B254" s="50" t="n"/>
      <c r="C254" s="50" t="n"/>
      <c r="D254" s="50" t="n"/>
      <c r="E254" s="50" t="n"/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>
        <f>IF(A254="","",ROUND(B254/10000*0.25+C254/10000*0.05+D254/10000*0.05+E254/10000*0.05+IF(F254="Yes",10,IF(F254="No",0,5))*0.10+IF(G254="Yes",10,IF(G254="No",0,5))*0.05+H254*0.10+I254*0.10+J254*0.05+K254*0.05+L254*0.05+M254*0.05+N254*0.03+O254*0.02+P254*0.05,1))</f>
        <v/>
      </c>
      <c r="S254" s="46">
        <f>IF(A254="","",RANK(R254,$R$2:$R$500,0))</f>
        <v/>
      </c>
    </row>
    <row r="255" ht="22" customHeight="1">
      <c r="A255" s="48" t="n"/>
      <c r="B255" s="51" t="n"/>
      <c r="C255" s="51" t="n"/>
      <c r="D255" s="51" t="n"/>
      <c r="E255" s="51" t="n"/>
      <c r="F255" s="48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>
        <f>IF(A255="","",ROUND(B255/10000*0.25+C255/10000*0.05+D255/10000*0.05+E255/10000*0.05+IF(F255="Yes",10,IF(F255="No",0,5))*0.10+IF(G255="Yes",10,IF(G255="No",0,5))*0.05+H255*0.10+I255*0.10+J255*0.05+K255*0.05+L255*0.05+M255*0.05+N255*0.03+O255*0.02+P255*0.05,1))</f>
        <v/>
      </c>
      <c r="S255" s="48">
        <f>IF(A255="","",RANK(R255,$R$2:$R$500,0))</f>
        <v/>
      </c>
    </row>
    <row r="256" ht="22" customHeight="1">
      <c r="A256" s="46" t="n"/>
      <c r="B256" s="50" t="n"/>
      <c r="C256" s="50" t="n"/>
      <c r="D256" s="50" t="n"/>
      <c r="E256" s="50" t="n"/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>
        <f>IF(A256="","",ROUND(B256/10000*0.25+C256/10000*0.05+D256/10000*0.05+E256/10000*0.05+IF(F256="Yes",10,IF(F256="No",0,5))*0.10+IF(G256="Yes",10,IF(G256="No",0,5))*0.05+H256*0.10+I256*0.10+J256*0.05+K256*0.05+L256*0.05+M256*0.05+N256*0.03+O256*0.02+P256*0.05,1))</f>
        <v/>
      </c>
      <c r="S256" s="46">
        <f>IF(A256="","",RANK(R256,$R$2:$R$500,0))</f>
        <v/>
      </c>
    </row>
    <row r="257" ht="22" customHeight="1">
      <c r="A257" s="48" t="n"/>
      <c r="B257" s="51" t="n"/>
      <c r="C257" s="51" t="n"/>
      <c r="D257" s="51" t="n"/>
      <c r="E257" s="51" t="n"/>
      <c r="F257" s="48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>
        <f>IF(A257="","",ROUND(B257/10000*0.25+C257/10000*0.05+D257/10000*0.05+E257/10000*0.05+IF(F257="Yes",10,IF(F257="No",0,5))*0.10+IF(G257="Yes",10,IF(G257="No",0,5))*0.05+H257*0.10+I257*0.10+J257*0.05+K257*0.05+L257*0.05+M257*0.05+N257*0.03+O257*0.02+P257*0.05,1))</f>
        <v/>
      </c>
      <c r="S257" s="48">
        <f>IF(A257="","",RANK(R257,$R$2:$R$500,0))</f>
        <v/>
      </c>
    </row>
    <row r="258" ht="22" customHeight="1">
      <c r="A258" s="46" t="n"/>
      <c r="B258" s="50" t="n"/>
      <c r="C258" s="50" t="n"/>
      <c r="D258" s="50" t="n"/>
      <c r="E258" s="50" t="n"/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>
        <f>IF(A258="","",ROUND(B258/10000*0.25+C258/10000*0.05+D258/10000*0.05+E258/10000*0.05+IF(F258="Yes",10,IF(F258="No",0,5))*0.10+IF(G258="Yes",10,IF(G258="No",0,5))*0.05+H258*0.10+I258*0.10+J258*0.05+K258*0.05+L258*0.05+M258*0.05+N258*0.03+O258*0.02+P258*0.05,1))</f>
        <v/>
      </c>
      <c r="S258" s="46">
        <f>IF(A258="","",RANK(R258,$R$2:$R$500,0))</f>
        <v/>
      </c>
    </row>
    <row r="259" ht="22" customHeight="1">
      <c r="A259" s="48" t="n"/>
      <c r="B259" s="51" t="n"/>
      <c r="C259" s="51" t="n"/>
      <c r="D259" s="51" t="n"/>
      <c r="E259" s="51" t="n"/>
      <c r="F259" s="48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>
        <f>IF(A259="","",ROUND(B259/10000*0.25+C259/10000*0.05+D259/10000*0.05+E259/10000*0.05+IF(F259="Yes",10,IF(F259="No",0,5))*0.10+IF(G259="Yes",10,IF(G259="No",0,5))*0.05+H259*0.10+I259*0.10+J259*0.05+K259*0.05+L259*0.05+M259*0.05+N259*0.03+O259*0.02+P259*0.05,1))</f>
        <v/>
      </c>
      <c r="S259" s="48">
        <f>IF(A259="","",RANK(R259,$R$2:$R$500,0))</f>
        <v/>
      </c>
    </row>
    <row r="260" ht="22" customHeight="1">
      <c r="A260" s="46" t="n"/>
      <c r="B260" s="50" t="n"/>
      <c r="C260" s="50" t="n"/>
      <c r="D260" s="50" t="n"/>
      <c r="E260" s="50" t="n"/>
      <c r="F260" s="46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>
        <f>IF(A260="","",ROUND(B260/10000*0.25+C260/10000*0.05+D260/10000*0.05+E260/10000*0.05+IF(F260="Yes",10,IF(F260="No",0,5))*0.10+IF(G260="Yes",10,IF(G260="No",0,5))*0.05+H260*0.10+I260*0.10+J260*0.05+K260*0.05+L260*0.05+M260*0.05+N260*0.03+O260*0.02+P260*0.05,1))</f>
        <v/>
      </c>
      <c r="S260" s="46">
        <f>IF(A260="","",RANK(R260,$R$2:$R$500,0))</f>
        <v/>
      </c>
    </row>
    <row r="261" ht="22" customHeight="1">
      <c r="A261" s="48" t="n"/>
      <c r="B261" s="51" t="n"/>
      <c r="C261" s="51" t="n"/>
      <c r="D261" s="51" t="n"/>
      <c r="E261" s="51" t="n"/>
      <c r="F261" s="48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>
        <f>IF(A261="","",ROUND(B261/10000*0.25+C261/10000*0.05+D261/10000*0.05+E261/10000*0.05+IF(F261="Yes",10,IF(F261="No",0,5))*0.10+IF(G261="Yes",10,IF(G261="No",0,5))*0.05+H261*0.10+I261*0.10+J261*0.05+K261*0.05+L261*0.05+M261*0.05+N261*0.03+O261*0.02+P261*0.05,1))</f>
        <v/>
      </c>
      <c r="S261" s="48">
        <f>IF(A261="","",RANK(R261,$R$2:$R$500,0))</f>
        <v/>
      </c>
    </row>
    <row r="262" ht="22" customHeight="1">
      <c r="A262" s="46" t="n"/>
      <c r="B262" s="50" t="n"/>
      <c r="C262" s="50" t="n"/>
      <c r="D262" s="50" t="n"/>
      <c r="E262" s="50" t="n"/>
      <c r="F262" s="46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>
        <f>IF(A262="","",ROUND(B262/10000*0.25+C262/10000*0.05+D262/10000*0.05+E262/10000*0.05+IF(F262="Yes",10,IF(F262="No",0,5))*0.10+IF(G262="Yes",10,IF(G262="No",0,5))*0.05+H262*0.10+I262*0.10+J262*0.05+K262*0.05+L262*0.05+M262*0.05+N262*0.03+O262*0.02+P262*0.05,1))</f>
        <v/>
      </c>
      <c r="S262" s="46">
        <f>IF(A262="","",RANK(R262,$R$2:$R$500,0))</f>
        <v/>
      </c>
    </row>
    <row r="263" ht="22" customHeight="1">
      <c r="A263" s="48" t="n"/>
      <c r="B263" s="51" t="n"/>
      <c r="C263" s="51" t="n"/>
      <c r="D263" s="51" t="n"/>
      <c r="E263" s="51" t="n"/>
      <c r="F263" s="48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>
        <f>IF(A263="","",ROUND(B263/10000*0.25+C263/10000*0.05+D263/10000*0.05+E263/10000*0.05+IF(F263="Yes",10,IF(F263="No",0,5))*0.10+IF(G263="Yes",10,IF(G263="No",0,5))*0.05+H263*0.10+I263*0.10+J263*0.05+K263*0.05+L263*0.05+M263*0.05+N263*0.03+O263*0.02+P263*0.05,1))</f>
        <v/>
      </c>
      <c r="S263" s="48">
        <f>IF(A263="","",RANK(R263,$R$2:$R$500,0))</f>
        <v/>
      </c>
    </row>
    <row r="264" ht="22" customHeight="1">
      <c r="A264" s="46" t="n"/>
      <c r="B264" s="50" t="n"/>
      <c r="C264" s="50" t="n"/>
      <c r="D264" s="50" t="n"/>
      <c r="E264" s="50" t="n"/>
      <c r="F264" s="46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>
        <f>IF(A264="","",ROUND(B264/10000*0.25+C264/10000*0.05+D264/10000*0.05+E264/10000*0.05+IF(F264="Yes",10,IF(F264="No",0,5))*0.10+IF(G264="Yes",10,IF(G264="No",0,5))*0.05+H264*0.10+I264*0.10+J264*0.05+K264*0.05+L264*0.05+M264*0.05+N264*0.03+O264*0.02+P264*0.05,1))</f>
        <v/>
      </c>
      <c r="S264" s="46">
        <f>IF(A264="","",RANK(R264,$R$2:$R$500,0))</f>
        <v/>
      </c>
    </row>
    <row r="265" ht="22" customHeight="1">
      <c r="A265" s="48" t="n"/>
      <c r="B265" s="51" t="n"/>
      <c r="C265" s="51" t="n"/>
      <c r="D265" s="51" t="n"/>
      <c r="E265" s="51" t="n"/>
      <c r="F265" s="48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>
        <f>IF(A265="","",ROUND(B265/10000*0.25+C265/10000*0.05+D265/10000*0.05+E265/10000*0.05+IF(F265="Yes",10,IF(F265="No",0,5))*0.10+IF(G265="Yes",10,IF(G265="No",0,5))*0.05+H265*0.10+I265*0.10+J265*0.05+K265*0.05+L265*0.05+M265*0.05+N265*0.03+O265*0.02+P265*0.05,1))</f>
        <v/>
      </c>
      <c r="S265" s="48">
        <f>IF(A265="","",RANK(R265,$R$2:$R$500,0))</f>
        <v/>
      </c>
    </row>
    <row r="266" ht="22" customHeight="1">
      <c r="A266" s="46" t="n"/>
      <c r="B266" s="50" t="n"/>
      <c r="C266" s="50" t="n"/>
      <c r="D266" s="50" t="n"/>
      <c r="E266" s="50" t="n"/>
      <c r="F266" s="46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>
        <f>IF(A266="","",ROUND(B266/10000*0.25+C266/10000*0.05+D266/10000*0.05+E266/10000*0.05+IF(F266="Yes",10,IF(F266="No",0,5))*0.10+IF(G266="Yes",10,IF(G266="No",0,5))*0.05+H266*0.10+I266*0.10+J266*0.05+K266*0.05+L266*0.05+M266*0.05+N266*0.03+O266*0.02+P266*0.05,1))</f>
        <v/>
      </c>
      <c r="S266" s="46">
        <f>IF(A266="","",RANK(R266,$R$2:$R$500,0))</f>
        <v/>
      </c>
    </row>
    <row r="267" ht="22" customHeight="1">
      <c r="A267" s="48" t="n"/>
      <c r="B267" s="51" t="n"/>
      <c r="C267" s="51" t="n"/>
      <c r="D267" s="51" t="n"/>
      <c r="E267" s="51" t="n"/>
      <c r="F267" s="48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>
        <f>IF(A267="","",ROUND(B267/10000*0.25+C267/10000*0.05+D267/10000*0.05+E267/10000*0.05+IF(F267="Yes",10,IF(F267="No",0,5))*0.10+IF(G267="Yes",10,IF(G267="No",0,5))*0.05+H267*0.10+I267*0.10+J267*0.05+K267*0.05+L267*0.05+M267*0.05+N267*0.03+O267*0.02+P267*0.05,1))</f>
        <v/>
      </c>
      <c r="S267" s="48">
        <f>IF(A267="","",RANK(R267,$R$2:$R$500,0))</f>
        <v/>
      </c>
    </row>
    <row r="268" ht="22" customHeight="1">
      <c r="A268" s="46" t="n"/>
      <c r="B268" s="50" t="n"/>
      <c r="C268" s="50" t="n"/>
      <c r="D268" s="50" t="n"/>
      <c r="E268" s="50" t="n"/>
      <c r="F268" s="46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>
        <f>IF(A268="","",ROUND(B268/10000*0.25+C268/10000*0.05+D268/10000*0.05+E268/10000*0.05+IF(F268="Yes",10,IF(F268="No",0,5))*0.10+IF(G268="Yes",10,IF(G268="No",0,5))*0.05+H268*0.10+I268*0.10+J268*0.05+K268*0.05+L268*0.05+M268*0.05+N268*0.03+O268*0.02+P268*0.05,1))</f>
        <v/>
      </c>
      <c r="S268" s="46">
        <f>IF(A268="","",RANK(R268,$R$2:$R$500,0))</f>
        <v/>
      </c>
    </row>
    <row r="269" ht="22" customHeight="1">
      <c r="A269" s="48" t="n"/>
      <c r="B269" s="51" t="n"/>
      <c r="C269" s="51" t="n"/>
      <c r="D269" s="51" t="n"/>
      <c r="E269" s="51" t="n"/>
      <c r="F269" s="48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>
        <f>IF(A269="","",ROUND(B269/10000*0.25+C269/10000*0.05+D269/10000*0.05+E269/10000*0.05+IF(F269="Yes",10,IF(F269="No",0,5))*0.10+IF(G269="Yes",10,IF(G269="No",0,5))*0.05+H269*0.10+I269*0.10+J269*0.05+K269*0.05+L269*0.05+M269*0.05+N269*0.03+O269*0.02+P269*0.05,1))</f>
        <v/>
      </c>
      <c r="S269" s="48">
        <f>IF(A269="","",RANK(R269,$R$2:$R$500,0))</f>
        <v/>
      </c>
    </row>
    <row r="270" ht="22" customHeight="1">
      <c r="A270" s="46" t="n"/>
      <c r="B270" s="50" t="n"/>
      <c r="C270" s="50" t="n"/>
      <c r="D270" s="50" t="n"/>
      <c r="E270" s="50" t="n"/>
      <c r="F270" s="46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>
        <f>IF(A270="","",ROUND(B270/10000*0.25+C270/10000*0.05+D270/10000*0.05+E270/10000*0.05+IF(F270="Yes",10,IF(F270="No",0,5))*0.10+IF(G270="Yes",10,IF(G270="No",0,5))*0.05+H270*0.10+I270*0.10+J270*0.05+K270*0.05+L270*0.05+M270*0.05+N270*0.03+O270*0.02+P270*0.05,1))</f>
        <v/>
      </c>
      <c r="S270" s="46">
        <f>IF(A270="","",RANK(R270,$R$2:$R$500,0))</f>
        <v/>
      </c>
    </row>
    <row r="271" ht="22" customHeight="1">
      <c r="A271" s="48" t="n"/>
      <c r="B271" s="51" t="n"/>
      <c r="C271" s="51" t="n"/>
      <c r="D271" s="51" t="n"/>
      <c r="E271" s="51" t="n"/>
      <c r="F271" s="48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>
        <f>IF(A271="","",ROUND(B271/10000*0.25+C271/10000*0.05+D271/10000*0.05+E271/10000*0.05+IF(F271="Yes",10,IF(F271="No",0,5))*0.10+IF(G271="Yes",10,IF(G271="No",0,5))*0.05+H271*0.10+I271*0.10+J271*0.05+K271*0.05+L271*0.05+M271*0.05+N271*0.03+O271*0.02+P271*0.05,1))</f>
        <v/>
      </c>
      <c r="S271" s="48">
        <f>IF(A271="","",RANK(R271,$R$2:$R$500,0))</f>
        <v/>
      </c>
    </row>
    <row r="272" ht="22" customHeight="1">
      <c r="A272" s="46" t="n"/>
      <c r="B272" s="50" t="n"/>
      <c r="C272" s="50" t="n"/>
      <c r="D272" s="50" t="n"/>
      <c r="E272" s="50" t="n"/>
      <c r="F272" s="46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>
        <f>IF(A272="","",ROUND(B272/10000*0.25+C272/10000*0.05+D272/10000*0.05+E272/10000*0.05+IF(F272="Yes",10,IF(F272="No",0,5))*0.10+IF(G272="Yes",10,IF(G272="No",0,5))*0.05+H272*0.10+I272*0.10+J272*0.05+K272*0.05+L272*0.05+M272*0.05+N272*0.03+O272*0.02+P272*0.05,1))</f>
        <v/>
      </c>
      <c r="S272" s="46">
        <f>IF(A272="","",RANK(R272,$R$2:$R$500,0))</f>
        <v/>
      </c>
    </row>
    <row r="273" ht="22" customHeight="1">
      <c r="A273" s="48" t="n"/>
      <c r="B273" s="51" t="n"/>
      <c r="C273" s="51" t="n"/>
      <c r="D273" s="51" t="n"/>
      <c r="E273" s="51" t="n"/>
      <c r="F273" s="48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>
        <f>IF(A273="","",ROUND(B273/10000*0.25+C273/10000*0.05+D273/10000*0.05+E273/10000*0.05+IF(F273="Yes",10,IF(F273="No",0,5))*0.10+IF(G273="Yes",10,IF(G273="No",0,5))*0.05+H273*0.10+I273*0.10+J273*0.05+K273*0.05+L273*0.05+M273*0.05+N273*0.03+O273*0.02+P273*0.05,1))</f>
        <v/>
      </c>
      <c r="S273" s="48">
        <f>IF(A273="","",RANK(R273,$R$2:$R$500,0))</f>
        <v/>
      </c>
    </row>
    <row r="274" ht="22" customHeight="1">
      <c r="A274" s="46" t="n"/>
      <c r="B274" s="50" t="n"/>
      <c r="C274" s="50" t="n"/>
      <c r="D274" s="50" t="n"/>
      <c r="E274" s="50" t="n"/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>
        <f>IF(A274="","",ROUND(B274/10000*0.25+C274/10000*0.05+D274/10000*0.05+E274/10000*0.05+IF(F274="Yes",10,IF(F274="No",0,5))*0.10+IF(G274="Yes",10,IF(G274="No",0,5))*0.05+H274*0.10+I274*0.10+J274*0.05+K274*0.05+L274*0.05+M274*0.05+N274*0.03+O274*0.02+P274*0.05,1))</f>
        <v/>
      </c>
      <c r="S274" s="46">
        <f>IF(A274="","",RANK(R274,$R$2:$R$500,0))</f>
        <v/>
      </c>
    </row>
    <row r="275" ht="22" customHeight="1">
      <c r="A275" s="48" t="n"/>
      <c r="B275" s="51" t="n"/>
      <c r="C275" s="51" t="n"/>
      <c r="D275" s="51" t="n"/>
      <c r="E275" s="51" t="n"/>
      <c r="F275" s="48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>
        <f>IF(A275="","",ROUND(B275/10000*0.25+C275/10000*0.05+D275/10000*0.05+E275/10000*0.05+IF(F275="Yes",10,IF(F275="No",0,5))*0.10+IF(G275="Yes",10,IF(G275="No",0,5))*0.05+H275*0.10+I275*0.10+J275*0.05+K275*0.05+L275*0.05+M275*0.05+N275*0.03+O275*0.02+P275*0.05,1))</f>
        <v/>
      </c>
      <c r="S275" s="48">
        <f>IF(A275="","",RANK(R275,$R$2:$R$500,0))</f>
        <v/>
      </c>
    </row>
    <row r="276" ht="22" customHeight="1">
      <c r="A276" s="46" t="n"/>
      <c r="B276" s="50" t="n"/>
      <c r="C276" s="50" t="n"/>
      <c r="D276" s="50" t="n"/>
      <c r="E276" s="50" t="n"/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>
        <f>IF(A276="","",ROUND(B276/10000*0.25+C276/10000*0.05+D276/10000*0.05+E276/10000*0.05+IF(F276="Yes",10,IF(F276="No",0,5))*0.10+IF(G276="Yes",10,IF(G276="No",0,5))*0.05+H276*0.10+I276*0.10+J276*0.05+K276*0.05+L276*0.05+M276*0.05+N276*0.03+O276*0.02+P276*0.05,1))</f>
        <v/>
      </c>
      <c r="S276" s="46">
        <f>IF(A276="","",RANK(R276,$R$2:$R$500,0))</f>
        <v/>
      </c>
    </row>
    <row r="277" ht="22" customHeight="1">
      <c r="A277" s="48" t="n"/>
      <c r="B277" s="51" t="n"/>
      <c r="C277" s="51" t="n"/>
      <c r="D277" s="51" t="n"/>
      <c r="E277" s="51" t="n"/>
      <c r="F277" s="48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>
        <f>IF(A277="","",ROUND(B277/10000*0.25+C277/10000*0.05+D277/10000*0.05+E277/10000*0.05+IF(F277="Yes",10,IF(F277="No",0,5))*0.10+IF(G277="Yes",10,IF(G277="No",0,5))*0.05+H277*0.10+I277*0.10+J277*0.05+K277*0.05+L277*0.05+M277*0.05+N277*0.03+O277*0.02+P277*0.05,1))</f>
        <v/>
      </c>
      <c r="S277" s="48">
        <f>IF(A277="","",RANK(R277,$R$2:$R$500,0))</f>
        <v/>
      </c>
    </row>
    <row r="278" ht="22" customHeight="1">
      <c r="A278" s="46" t="n"/>
      <c r="B278" s="50" t="n"/>
      <c r="C278" s="50" t="n"/>
      <c r="D278" s="50" t="n"/>
      <c r="E278" s="50" t="n"/>
      <c r="F278" s="46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>
        <f>IF(A278="","",ROUND(B278/10000*0.25+C278/10000*0.05+D278/10000*0.05+E278/10000*0.05+IF(F278="Yes",10,IF(F278="No",0,5))*0.10+IF(G278="Yes",10,IF(G278="No",0,5))*0.05+H278*0.10+I278*0.10+J278*0.05+K278*0.05+L278*0.05+M278*0.05+N278*0.03+O278*0.02+P278*0.05,1))</f>
        <v/>
      </c>
      <c r="S278" s="46">
        <f>IF(A278="","",RANK(R278,$R$2:$R$500,0))</f>
        <v/>
      </c>
    </row>
    <row r="279" ht="22" customHeight="1">
      <c r="A279" s="48" t="n"/>
      <c r="B279" s="51" t="n"/>
      <c r="C279" s="51" t="n"/>
      <c r="D279" s="51" t="n"/>
      <c r="E279" s="51" t="n"/>
      <c r="F279" s="48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>
        <f>IF(A279="","",ROUND(B279/10000*0.25+C279/10000*0.05+D279/10000*0.05+E279/10000*0.05+IF(F279="Yes",10,IF(F279="No",0,5))*0.10+IF(G279="Yes",10,IF(G279="No",0,5))*0.05+H279*0.10+I279*0.10+J279*0.05+K279*0.05+L279*0.05+M279*0.05+N279*0.03+O279*0.02+P279*0.05,1))</f>
        <v/>
      </c>
      <c r="S279" s="48">
        <f>IF(A279="","",RANK(R279,$R$2:$R$500,0))</f>
        <v/>
      </c>
    </row>
    <row r="280" ht="22" customHeight="1">
      <c r="A280" s="46" t="n"/>
      <c r="B280" s="50" t="n"/>
      <c r="C280" s="50" t="n"/>
      <c r="D280" s="50" t="n"/>
      <c r="E280" s="50" t="n"/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>
        <f>IF(A280="","",ROUND(B280/10000*0.25+C280/10000*0.05+D280/10000*0.05+E280/10000*0.05+IF(F280="Yes",10,IF(F280="No",0,5))*0.10+IF(G280="Yes",10,IF(G280="No",0,5))*0.05+H280*0.10+I280*0.10+J280*0.05+K280*0.05+L280*0.05+M280*0.05+N280*0.03+O280*0.02+P280*0.05,1))</f>
        <v/>
      </c>
      <c r="S280" s="46">
        <f>IF(A280="","",RANK(R280,$R$2:$R$500,0))</f>
        <v/>
      </c>
    </row>
    <row r="281" ht="22" customHeight="1">
      <c r="A281" s="48" t="n"/>
      <c r="B281" s="51" t="n"/>
      <c r="C281" s="51" t="n"/>
      <c r="D281" s="51" t="n"/>
      <c r="E281" s="51" t="n"/>
      <c r="F281" s="48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>
        <f>IF(A281="","",ROUND(B281/10000*0.25+C281/10000*0.05+D281/10000*0.05+E281/10000*0.05+IF(F281="Yes",10,IF(F281="No",0,5))*0.10+IF(G281="Yes",10,IF(G281="No",0,5))*0.05+H281*0.10+I281*0.10+J281*0.05+K281*0.05+L281*0.05+M281*0.05+N281*0.03+O281*0.02+P281*0.05,1))</f>
        <v/>
      </c>
      <c r="S281" s="48">
        <f>IF(A281="","",RANK(R281,$R$2:$R$500,0))</f>
        <v/>
      </c>
    </row>
    <row r="282" ht="22" customHeight="1">
      <c r="A282" s="46" t="n"/>
      <c r="B282" s="50" t="n"/>
      <c r="C282" s="50" t="n"/>
      <c r="D282" s="50" t="n"/>
      <c r="E282" s="50" t="n"/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>
        <f>IF(A282="","",ROUND(B282/10000*0.25+C282/10000*0.05+D282/10000*0.05+E282/10000*0.05+IF(F282="Yes",10,IF(F282="No",0,5))*0.10+IF(G282="Yes",10,IF(G282="No",0,5))*0.05+H282*0.10+I282*0.10+J282*0.05+K282*0.05+L282*0.05+M282*0.05+N282*0.03+O282*0.02+P282*0.05,1))</f>
        <v/>
      </c>
      <c r="S282" s="46">
        <f>IF(A282="","",RANK(R282,$R$2:$R$500,0))</f>
        <v/>
      </c>
    </row>
    <row r="283" ht="22" customHeight="1">
      <c r="A283" s="48" t="n"/>
      <c r="B283" s="51" t="n"/>
      <c r="C283" s="51" t="n"/>
      <c r="D283" s="51" t="n"/>
      <c r="E283" s="51" t="n"/>
      <c r="F283" s="48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>
        <f>IF(A283="","",ROUND(B283/10000*0.25+C283/10000*0.05+D283/10000*0.05+E283/10000*0.05+IF(F283="Yes",10,IF(F283="No",0,5))*0.10+IF(G283="Yes",10,IF(G283="No",0,5))*0.05+H283*0.10+I283*0.10+J283*0.05+K283*0.05+L283*0.05+M283*0.05+N283*0.03+O283*0.02+P283*0.05,1))</f>
        <v/>
      </c>
      <c r="S283" s="48">
        <f>IF(A283="","",RANK(R283,$R$2:$R$500,0))</f>
        <v/>
      </c>
    </row>
    <row r="284" ht="22" customHeight="1">
      <c r="A284" s="46" t="n"/>
      <c r="B284" s="50" t="n"/>
      <c r="C284" s="50" t="n"/>
      <c r="D284" s="50" t="n"/>
      <c r="E284" s="50" t="n"/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>
        <f>IF(A284="","",ROUND(B284/10000*0.25+C284/10000*0.05+D284/10000*0.05+E284/10000*0.05+IF(F284="Yes",10,IF(F284="No",0,5))*0.10+IF(G284="Yes",10,IF(G284="No",0,5))*0.05+H284*0.10+I284*0.10+J284*0.05+K284*0.05+L284*0.05+M284*0.05+N284*0.03+O284*0.02+P284*0.05,1))</f>
        <v/>
      </c>
      <c r="S284" s="46">
        <f>IF(A284="","",RANK(R284,$R$2:$R$500,0))</f>
        <v/>
      </c>
    </row>
    <row r="285" ht="22" customHeight="1">
      <c r="A285" s="48" t="n"/>
      <c r="B285" s="51" t="n"/>
      <c r="C285" s="51" t="n"/>
      <c r="D285" s="51" t="n"/>
      <c r="E285" s="51" t="n"/>
      <c r="F285" s="48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>
        <f>IF(A285="","",ROUND(B285/10000*0.25+C285/10000*0.05+D285/10000*0.05+E285/10000*0.05+IF(F285="Yes",10,IF(F285="No",0,5))*0.10+IF(G285="Yes",10,IF(G285="No",0,5))*0.05+H285*0.10+I285*0.10+J285*0.05+K285*0.05+L285*0.05+M285*0.05+N285*0.03+O285*0.02+P285*0.05,1))</f>
        <v/>
      </c>
      <c r="S285" s="48">
        <f>IF(A285="","",RANK(R285,$R$2:$R$500,0))</f>
        <v/>
      </c>
    </row>
    <row r="286" ht="22" customHeight="1">
      <c r="A286" s="46" t="n"/>
      <c r="B286" s="50" t="n"/>
      <c r="C286" s="50" t="n"/>
      <c r="D286" s="50" t="n"/>
      <c r="E286" s="50" t="n"/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>
        <f>IF(A286="","",ROUND(B286/10000*0.25+C286/10000*0.05+D286/10000*0.05+E286/10000*0.05+IF(F286="Yes",10,IF(F286="No",0,5))*0.10+IF(G286="Yes",10,IF(G286="No",0,5))*0.05+H286*0.10+I286*0.10+J286*0.05+K286*0.05+L286*0.05+M286*0.05+N286*0.03+O286*0.02+P286*0.05,1))</f>
        <v/>
      </c>
      <c r="S286" s="46">
        <f>IF(A286="","",RANK(R286,$R$2:$R$500,0))</f>
        <v/>
      </c>
    </row>
    <row r="287" ht="22" customHeight="1">
      <c r="A287" s="48" t="n"/>
      <c r="B287" s="51" t="n"/>
      <c r="C287" s="51" t="n"/>
      <c r="D287" s="51" t="n"/>
      <c r="E287" s="51" t="n"/>
      <c r="F287" s="48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>
        <f>IF(A287="","",ROUND(B287/10000*0.25+C287/10000*0.05+D287/10000*0.05+E287/10000*0.05+IF(F287="Yes",10,IF(F287="No",0,5))*0.10+IF(G287="Yes",10,IF(G287="No",0,5))*0.05+H287*0.10+I287*0.10+J287*0.05+K287*0.05+L287*0.05+M287*0.05+N287*0.03+O287*0.02+P287*0.05,1))</f>
        <v/>
      </c>
      <c r="S287" s="48">
        <f>IF(A287="","",RANK(R287,$R$2:$R$500,0))</f>
        <v/>
      </c>
    </row>
    <row r="288" ht="22" customHeight="1">
      <c r="A288" s="46" t="n"/>
      <c r="B288" s="50" t="n"/>
      <c r="C288" s="50" t="n"/>
      <c r="D288" s="50" t="n"/>
      <c r="E288" s="50" t="n"/>
      <c r="F288" s="46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>
        <f>IF(A288="","",ROUND(B288/10000*0.25+C288/10000*0.05+D288/10000*0.05+E288/10000*0.05+IF(F288="Yes",10,IF(F288="No",0,5))*0.10+IF(G288="Yes",10,IF(G288="No",0,5))*0.05+H288*0.10+I288*0.10+J288*0.05+K288*0.05+L288*0.05+M288*0.05+N288*0.03+O288*0.02+P288*0.05,1))</f>
        <v/>
      </c>
      <c r="S288" s="46">
        <f>IF(A288="","",RANK(R288,$R$2:$R$500,0))</f>
        <v/>
      </c>
    </row>
    <row r="289" ht="22" customHeight="1">
      <c r="A289" s="48" t="n"/>
      <c r="B289" s="51" t="n"/>
      <c r="C289" s="51" t="n"/>
      <c r="D289" s="51" t="n"/>
      <c r="E289" s="51" t="n"/>
      <c r="F289" s="48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>
        <f>IF(A289="","",ROUND(B289/10000*0.25+C289/10000*0.05+D289/10000*0.05+E289/10000*0.05+IF(F289="Yes",10,IF(F289="No",0,5))*0.10+IF(G289="Yes",10,IF(G289="No",0,5))*0.05+H289*0.10+I289*0.10+J289*0.05+K289*0.05+L289*0.05+M289*0.05+N289*0.03+O289*0.02+P289*0.05,1))</f>
        <v/>
      </c>
      <c r="S289" s="48">
        <f>IF(A289="","",RANK(R289,$R$2:$R$500,0))</f>
        <v/>
      </c>
    </row>
    <row r="290" ht="22" customHeight="1">
      <c r="A290" s="46" t="n"/>
      <c r="B290" s="50" t="n"/>
      <c r="C290" s="50" t="n"/>
      <c r="D290" s="50" t="n"/>
      <c r="E290" s="50" t="n"/>
      <c r="F290" s="46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>
        <f>IF(A290="","",ROUND(B290/10000*0.25+C290/10000*0.05+D290/10000*0.05+E290/10000*0.05+IF(F290="Yes",10,IF(F290="No",0,5))*0.10+IF(G290="Yes",10,IF(G290="No",0,5))*0.05+H290*0.10+I290*0.10+J290*0.05+K290*0.05+L290*0.05+M290*0.05+N290*0.03+O290*0.02+P290*0.05,1))</f>
        <v/>
      </c>
      <c r="S290" s="46">
        <f>IF(A290="","",RANK(R290,$R$2:$R$500,0))</f>
        <v/>
      </c>
    </row>
    <row r="291" ht="22" customHeight="1">
      <c r="A291" s="48" t="n"/>
      <c r="B291" s="51" t="n"/>
      <c r="C291" s="51" t="n"/>
      <c r="D291" s="51" t="n"/>
      <c r="E291" s="51" t="n"/>
      <c r="F291" s="48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>
        <f>IF(A291="","",ROUND(B291/10000*0.25+C291/10000*0.05+D291/10000*0.05+E291/10000*0.05+IF(F291="Yes",10,IF(F291="No",0,5))*0.10+IF(G291="Yes",10,IF(G291="No",0,5))*0.05+H291*0.10+I291*0.10+J291*0.05+K291*0.05+L291*0.05+M291*0.05+N291*0.03+O291*0.02+P291*0.05,1))</f>
        <v/>
      </c>
      <c r="S291" s="48">
        <f>IF(A291="","",RANK(R291,$R$2:$R$500,0))</f>
        <v/>
      </c>
    </row>
    <row r="292" ht="22" customHeight="1">
      <c r="A292" s="46" t="n"/>
      <c r="B292" s="50" t="n"/>
      <c r="C292" s="50" t="n"/>
      <c r="D292" s="50" t="n"/>
      <c r="E292" s="50" t="n"/>
      <c r="F292" s="46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>
        <f>IF(A292="","",ROUND(B292/10000*0.25+C292/10000*0.05+D292/10000*0.05+E292/10000*0.05+IF(F292="Yes",10,IF(F292="No",0,5))*0.10+IF(G292="Yes",10,IF(G292="No",0,5))*0.05+H292*0.10+I292*0.10+J292*0.05+K292*0.05+L292*0.05+M292*0.05+N292*0.03+O292*0.02+P292*0.05,1))</f>
        <v/>
      </c>
      <c r="S292" s="46">
        <f>IF(A292="","",RANK(R292,$R$2:$R$500,0))</f>
        <v/>
      </c>
    </row>
    <row r="293" ht="22" customHeight="1">
      <c r="A293" s="48" t="n"/>
      <c r="B293" s="51" t="n"/>
      <c r="C293" s="51" t="n"/>
      <c r="D293" s="51" t="n"/>
      <c r="E293" s="51" t="n"/>
      <c r="F293" s="48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>
        <f>IF(A293="","",ROUND(B293/10000*0.25+C293/10000*0.05+D293/10000*0.05+E293/10000*0.05+IF(F293="Yes",10,IF(F293="No",0,5))*0.10+IF(G293="Yes",10,IF(G293="No",0,5))*0.05+H293*0.10+I293*0.10+J293*0.05+K293*0.05+L293*0.05+M293*0.05+N293*0.03+O293*0.02+P293*0.05,1))</f>
        <v/>
      </c>
      <c r="S293" s="48">
        <f>IF(A293="","",RANK(R293,$R$2:$R$500,0))</f>
        <v/>
      </c>
    </row>
    <row r="294" ht="22" customHeight="1">
      <c r="A294" s="46" t="n"/>
      <c r="B294" s="50" t="n"/>
      <c r="C294" s="50" t="n"/>
      <c r="D294" s="50" t="n"/>
      <c r="E294" s="50" t="n"/>
      <c r="F294" s="46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>
        <f>IF(A294="","",ROUND(B294/10000*0.25+C294/10000*0.05+D294/10000*0.05+E294/10000*0.05+IF(F294="Yes",10,IF(F294="No",0,5))*0.10+IF(G294="Yes",10,IF(G294="No",0,5))*0.05+H294*0.10+I294*0.10+J294*0.05+K294*0.05+L294*0.05+M294*0.05+N294*0.03+O294*0.02+P294*0.05,1))</f>
        <v/>
      </c>
      <c r="S294" s="46">
        <f>IF(A294="","",RANK(R294,$R$2:$R$500,0))</f>
        <v/>
      </c>
    </row>
    <row r="295" ht="22" customHeight="1">
      <c r="A295" s="48" t="n"/>
      <c r="B295" s="51" t="n"/>
      <c r="C295" s="51" t="n"/>
      <c r="D295" s="51" t="n"/>
      <c r="E295" s="51" t="n"/>
      <c r="F295" s="48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>
        <f>IF(A295="","",ROUND(B295/10000*0.25+C295/10000*0.05+D295/10000*0.05+E295/10000*0.05+IF(F295="Yes",10,IF(F295="No",0,5))*0.10+IF(G295="Yes",10,IF(G295="No",0,5))*0.05+H295*0.10+I295*0.10+J295*0.05+K295*0.05+L295*0.05+M295*0.05+N295*0.03+O295*0.02+P295*0.05,1))</f>
        <v/>
      </c>
      <c r="S295" s="48">
        <f>IF(A295="","",RANK(R295,$R$2:$R$500,0))</f>
        <v/>
      </c>
    </row>
    <row r="296" ht="22" customHeight="1">
      <c r="A296" s="46" t="n"/>
      <c r="B296" s="50" t="n"/>
      <c r="C296" s="50" t="n"/>
      <c r="D296" s="50" t="n"/>
      <c r="E296" s="50" t="n"/>
      <c r="F296" s="46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>
        <f>IF(A296="","",ROUND(B296/10000*0.25+C296/10000*0.05+D296/10000*0.05+E296/10000*0.05+IF(F296="Yes",10,IF(F296="No",0,5))*0.10+IF(G296="Yes",10,IF(G296="No",0,5))*0.05+H296*0.10+I296*0.10+J296*0.05+K296*0.05+L296*0.05+M296*0.05+N296*0.03+O296*0.02+P296*0.05,1))</f>
        <v/>
      </c>
      <c r="S296" s="46">
        <f>IF(A296="","",RANK(R296,$R$2:$R$500,0))</f>
        <v/>
      </c>
    </row>
    <row r="297" ht="22" customHeight="1">
      <c r="A297" s="48" t="n"/>
      <c r="B297" s="51" t="n"/>
      <c r="C297" s="51" t="n"/>
      <c r="D297" s="51" t="n"/>
      <c r="E297" s="51" t="n"/>
      <c r="F297" s="48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>
        <f>IF(A297="","",ROUND(B297/10000*0.25+C297/10000*0.05+D297/10000*0.05+E297/10000*0.05+IF(F297="Yes",10,IF(F297="No",0,5))*0.10+IF(G297="Yes",10,IF(G297="No",0,5))*0.05+H297*0.10+I297*0.10+J297*0.05+K297*0.05+L297*0.05+M297*0.05+N297*0.03+O297*0.02+P297*0.05,1))</f>
        <v/>
      </c>
      <c r="S297" s="48">
        <f>IF(A297="","",RANK(R297,$R$2:$R$500,0))</f>
        <v/>
      </c>
    </row>
    <row r="298" ht="22" customHeight="1">
      <c r="A298" s="46" t="n"/>
      <c r="B298" s="50" t="n"/>
      <c r="C298" s="50" t="n"/>
      <c r="D298" s="50" t="n"/>
      <c r="E298" s="50" t="n"/>
      <c r="F298" s="46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>
        <f>IF(A298="","",ROUND(B298/10000*0.25+C298/10000*0.05+D298/10000*0.05+E298/10000*0.05+IF(F298="Yes",10,IF(F298="No",0,5))*0.10+IF(G298="Yes",10,IF(G298="No",0,5))*0.05+H298*0.10+I298*0.10+J298*0.05+K298*0.05+L298*0.05+M298*0.05+N298*0.03+O298*0.02+P298*0.05,1))</f>
        <v/>
      </c>
      <c r="S298" s="46">
        <f>IF(A298="","",RANK(R298,$R$2:$R$500,0))</f>
        <v/>
      </c>
    </row>
    <row r="299" ht="22" customHeight="1">
      <c r="A299" s="48" t="n"/>
      <c r="B299" s="51" t="n"/>
      <c r="C299" s="51" t="n"/>
      <c r="D299" s="51" t="n"/>
      <c r="E299" s="51" t="n"/>
      <c r="F299" s="48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>
        <f>IF(A299="","",ROUND(B299/10000*0.25+C299/10000*0.05+D299/10000*0.05+E299/10000*0.05+IF(F299="Yes",10,IF(F299="No",0,5))*0.10+IF(G299="Yes",10,IF(G299="No",0,5))*0.05+H299*0.10+I299*0.10+J299*0.05+K299*0.05+L299*0.05+M299*0.05+N299*0.03+O299*0.02+P299*0.05,1))</f>
        <v/>
      </c>
      <c r="S299" s="48">
        <f>IF(A299="","",RANK(R299,$R$2:$R$500,0))</f>
        <v/>
      </c>
    </row>
    <row r="300" ht="22" customHeight="1">
      <c r="A300" s="46" t="n"/>
      <c r="B300" s="50" t="n"/>
      <c r="C300" s="50" t="n"/>
      <c r="D300" s="50" t="n"/>
      <c r="E300" s="50" t="n"/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>
        <f>IF(A300="","",ROUND(B300/10000*0.25+C300/10000*0.05+D300/10000*0.05+E300/10000*0.05+IF(F300="Yes",10,IF(F300="No",0,5))*0.10+IF(G300="Yes",10,IF(G300="No",0,5))*0.05+H300*0.10+I300*0.10+J300*0.05+K300*0.05+L300*0.05+M300*0.05+N300*0.03+O300*0.02+P300*0.05,1))</f>
        <v/>
      </c>
      <c r="S300" s="46">
        <f>IF(A300="","",RANK(R300,$R$2:$R$500,0))</f>
        <v/>
      </c>
    </row>
    <row r="301" ht="22" customHeight="1">
      <c r="A301" s="48" t="n"/>
      <c r="B301" s="51" t="n"/>
      <c r="C301" s="51" t="n"/>
      <c r="D301" s="51" t="n"/>
      <c r="E301" s="51" t="n"/>
      <c r="F301" s="48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>
        <f>IF(A301="","",ROUND(B301/10000*0.25+C301/10000*0.05+D301/10000*0.05+E301/10000*0.05+IF(F301="Yes",10,IF(F301="No",0,5))*0.10+IF(G301="Yes",10,IF(G301="No",0,5))*0.05+H301*0.10+I301*0.10+J301*0.05+K301*0.05+L301*0.05+M301*0.05+N301*0.03+O301*0.02+P301*0.05,1))</f>
        <v/>
      </c>
      <c r="S301" s="48">
        <f>IF(A301="","",RANK(R301,$R$2:$R$500,0))</f>
        <v/>
      </c>
    </row>
    <row r="302" ht="22" customHeight="1">
      <c r="A302" s="46" t="n"/>
      <c r="B302" s="50" t="n"/>
      <c r="C302" s="50" t="n"/>
      <c r="D302" s="50" t="n"/>
      <c r="E302" s="50" t="n"/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>
        <f>IF(A302="","",ROUND(B302/10000*0.25+C302/10000*0.05+D302/10000*0.05+E302/10000*0.05+IF(F302="Yes",10,IF(F302="No",0,5))*0.10+IF(G302="Yes",10,IF(G302="No",0,5))*0.05+H302*0.10+I302*0.10+J302*0.05+K302*0.05+L302*0.05+M302*0.05+N302*0.03+O302*0.02+P302*0.05,1))</f>
        <v/>
      </c>
      <c r="S302" s="46">
        <f>IF(A302="","",RANK(R302,$R$2:$R$500,0))</f>
        <v/>
      </c>
    </row>
    <row r="303" ht="22" customHeight="1">
      <c r="A303" s="48" t="n"/>
      <c r="B303" s="51" t="n"/>
      <c r="C303" s="51" t="n"/>
      <c r="D303" s="51" t="n"/>
      <c r="E303" s="51" t="n"/>
      <c r="F303" s="48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>
        <f>IF(A303="","",ROUND(B303/10000*0.25+C303/10000*0.05+D303/10000*0.05+E303/10000*0.05+IF(F303="Yes",10,IF(F303="No",0,5))*0.10+IF(G303="Yes",10,IF(G303="No",0,5))*0.05+H303*0.10+I303*0.10+J303*0.05+K303*0.05+L303*0.05+M303*0.05+N303*0.03+O303*0.02+P303*0.05,1))</f>
        <v/>
      </c>
      <c r="S303" s="48">
        <f>IF(A303="","",RANK(R303,$R$2:$R$500,0))</f>
        <v/>
      </c>
    </row>
    <row r="304" ht="22" customHeight="1">
      <c r="A304" s="46" t="n"/>
      <c r="B304" s="50" t="n"/>
      <c r="C304" s="50" t="n"/>
      <c r="D304" s="50" t="n"/>
      <c r="E304" s="50" t="n"/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>
        <f>IF(A304="","",ROUND(B304/10000*0.25+C304/10000*0.05+D304/10000*0.05+E304/10000*0.05+IF(F304="Yes",10,IF(F304="No",0,5))*0.10+IF(G304="Yes",10,IF(G304="No",0,5))*0.05+H304*0.10+I304*0.10+J304*0.05+K304*0.05+L304*0.05+M304*0.05+N304*0.03+O304*0.02+P304*0.05,1))</f>
        <v/>
      </c>
      <c r="S304" s="46">
        <f>IF(A304="","",RANK(R304,$R$2:$R$500,0))</f>
        <v/>
      </c>
    </row>
    <row r="305" ht="22" customHeight="1">
      <c r="A305" s="48" t="n"/>
      <c r="B305" s="51" t="n"/>
      <c r="C305" s="51" t="n"/>
      <c r="D305" s="51" t="n"/>
      <c r="E305" s="51" t="n"/>
      <c r="F305" s="48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>
        <f>IF(A305="","",ROUND(B305/10000*0.25+C305/10000*0.05+D305/10000*0.05+E305/10000*0.05+IF(F305="Yes",10,IF(F305="No",0,5))*0.10+IF(G305="Yes",10,IF(G305="No",0,5))*0.05+H305*0.10+I305*0.10+J305*0.05+K305*0.05+L305*0.05+M305*0.05+N305*0.03+O305*0.02+P305*0.05,1))</f>
        <v/>
      </c>
      <c r="S305" s="48">
        <f>IF(A305="","",RANK(R305,$R$2:$R$500,0))</f>
        <v/>
      </c>
    </row>
    <row r="306" ht="22" customHeight="1">
      <c r="A306" s="46" t="n"/>
      <c r="B306" s="50" t="n"/>
      <c r="C306" s="50" t="n"/>
      <c r="D306" s="50" t="n"/>
      <c r="E306" s="50" t="n"/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>
        <f>IF(A306="","",ROUND(B306/10000*0.25+C306/10000*0.05+D306/10000*0.05+E306/10000*0.05+IF(F306="Yes",10,IF(F306="No",0,5))*0.10+IF(G306="Yes",10,IF(G306="No",0,5))*0.05+H306*0.10+I306*0.10+J306*0.05+K306*0.05+L306*0.05+M306*0.05+N306*0.03+O306*0.02+P306*0.05,1))</f>
        <v/>
      </c>
      <c r="S306" s="46">
        <f>IF(A306="","",RANK(R306,$R$2:$R$500,0))</f>
        <v/>
      </c>
    </row>
    <row r="307" ht="22" customHeight="1">
      <c r="A307" s="48" t="n"/>
      <c r="B307" s="51" t="n"/>
      <c r="C307" s="51" t="n"/>
      <c r="D307" s="51" t="n"/>
      <c r="E307" s="51" t="n"/>
      <c r="F307" s="48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>
        <f>IF(A307="","",ROUND(B307/10000*0.25+C307/10000*0.05+D307/10000*0.05+E307/10000*0.05+IF(F307="Yes",10,IF(F307="No",0,5))*0.10+IF(G307="Yes",10,IF(G307="No",0,5))*0.05+H307*0.10+I307*0.10+J307*0.05+K307*0.05+L307*0.05+M307*0.05+N307*0.03+O307*0.02+P307*0.05,1))</f>
        <v/>
      </c>
      <c r="S307" s="48">
        <f>IF(A307="","",RANK(R307,$R$2:$R$500,0))</f>
        <v/>
      </c>
    </row>
    <row r="308" ht="22" customHeight="1">
      <c r="A308" s="46" t="n"/>
      <c r="B308" s="50" t="n"/>
      <c r="C308" s="50" t="n"/>
      <c r="D308" s="50" t="n"/>
      <c r="E308" s="50" t="n"/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>
        <f>IF(A308="","",ROUND(B308/10000*0.25+C308/10000*0.05+D308/10000*0.05+E308/10000*0.05+IF(F308="Yes",10,IF(F308="No",0,5))*0.10+IF(G308="Yes",10,IF(G308="No",0,5))*0.05+H308*0.10+I308*0.10+J308*0.05+K308*0.05+L308*0.05+M308*0.05+N308*0.03+O308*0.02+P308*0.05,1))</f>
        <v/>
      </c>
      <c r="S308" s="46">
        <f>IF(A308="","",RANK(R308,$R$2:$R$500,0))</f>
        <v/>
      </c>
    </row>
    <row r="309" ht="22" customHeight="1">
      <c r="A309" s="48" t="n"/>
      <c r="B309" s="51" t="n"/>
      <c r="C309" s="51" t="n"/>
      <c r="D309" s="51" t="n"/>
      <c r="E309" s="51" t="n"/>
      <c r="F309" s="48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>
        <f>IF(A309="","",ROUND(B309/10000*0.25+C309/10000*0.05+D309/10000*0.05+E309/10000*0.05+IF(F309="Yes",10,IF(F309="No",0,5))*0.10+IF(G309="Yes",10,IF(G309="No",0,5))*0.05+H309*0.10+I309*0.10+J309*0.05+K309*0.05+L309*0.05+M309*0.05+N309*0.03+O309*0.02+P309*0.05,1))</f>
        <v/>
      </c>
      <c r="S309" s="48">
        <f>IF(A309="","",RANK(R309,$R$2:$R$500,0))</f>
        <v/>
      </c>
    </row>
    <row r="310" ht="22" customHeight="1">
      <c r="A310" s="46" t="n"/>
      <c r="B310" s="50" t="n"/>
      <c r="C310" s="50" t="n"/>
      <c r="D310" s="50" t="n"/>
      <c r="E310" s="50" t="n"/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>
        <f>IF(A310="","",ROUND(B310/10000*0.25+C310/10000*0.05+D310/10000*0.05+E310/10000*0.05+IF(F310="Yes",10,IF(F310="No",0,5))*0.10+IF(G310="Yes",10,IF(G310="No",0,5))*0.05+H310*0.10+I310*0.10+J310*0.05+K310*0.05+L310*0.05+M310*0.05+N310*0.03+O310*0.02+P310*0.05,1))</f>
        <v/>
      </c>
      <c r="S310" s="46">
        <f>IF(A310="","",RANK(R310,$R$2:$R$500,0))</f>
        <v/>
      </c>
    </row>
    <row r="311" ht="22" customHeight="1">
      <c r="A311" s="48" t="n"/>
      <c r="B311" s="51" t="n"/>
      <c r="C311" s="51" t="n"/>
      <c r="D311" s="51" t="n"/>
      <c r="E311" s="51" t="n"/>
      <c r="F311" s="48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>
        <f>IF(A311="","",ROUND(B311/10000*0.25+C311/10000*0.05+D311/10000*0.05+E311/10000*0.05+IF(F311="Yes",10,IF(F311="No",0,5))*0.10+IF(G311="Yes",10,IF(G311="No",0,5))*0.05+H311*0.10+I311*0.10+J311*0.05+K311*0.05+L311*0.05+M311*0.05+N311*0.03+O311*0.02+P311*0.05,1))</f>
        <v/>
      </c>
      <c r="S311" s="48">
        <f>IF(A311="","",RANK(R311,$R$2:$R$500,0))</f>
        <v/>
      </c>
    </row>
    <row r="312" ht="22" customHeight="1">
      <c r="A312" s="46" t="n"/>
      <c r="B312" s="50" t="n"/>
      <c r="C312" s="50" t="n"/>
      <c r="D312" s="50" t="n"/>
      <c r="E312" s="50" t="n"/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>
        <f>IF(A312="","",ROUND(B312/10000*0.25+C312/10000*0.05+D312/10000*0.05+E312/10000*0.05+IF(F312="Yes",10,IF(F312="No",0,5))*0.10+IF(G312="Yes",10,IF(G312="No",0,5))*0.05+H312*0.10+I312*0.10+J312*0.05+K312*0.05+L312*0.05+M312*0.05+N312*0.03+O312*0.02+P312*0.05,1))</f>
        <v/>
      </c>
      <c r="S312" s="46">
        <f>IF(A312="","",RANK(R312,$R$2:$R$500,0))</f>
        <v/>
      </c>
    </row>
    <row r="313" ht="22" customHeight="1">
      <c r="A313" s="48" t="n"/>
      <c r="B313" s="51" t="n"/>
      <c r="C313" s="51" t="n"/>
      <c r="D313" s="51" t="n"/>
      <c r="E313" s="51" t="n"/>
      <c r="F313" s="48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>
        <f>IF(A313="","",ROUND(B313/10000*0.25+C313/10000*0.05+D313/10000*0.05+E313/10000*0.05+IF(F313="Yes",10,IF(F313="No",0,5))*0.10+IF(G313="Yes",10,IF(G313="No",0,5))*0.05+H313*0.10+I313*0.10+J313*0.05+K313*0.05+L313*0.05+M313*0.05+N313*0.03+O313*0.02+P313*0.05,1))</f>
        <v/>
      </c>
      <c r="S313" s="48">
        <f>IF(A313="","",RANK(R313,$R$2:$R$500,0))</f>
        <v/>
      </c>
    </row>
    <row r="314" ht="22" customHeight="1">
      <c r="A314" s="46" t="n"/>
      <c r="B314" s="50" t="n"/>
      <c r="C314" s="50" t="n"/>
      <c r="D314" s="50" t="n"/>
      <c r="E314" s="50" t="n"/>
      <c r="F314" s="46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>
        <f>IF(A314="","",ROUND(B314/10000*0.25+C314/10000*0.05+D314/10000*0.05+E314/10000*0.05+IF(F314="Yes",10,IF(F314="No",0,5))*0.10+IF(G314="Yes",10,IF(G314="No",0,5))*0.05+H314*0.10+I314*0.10+J314*0.05+K314*0.05+L314*0.05+M314*0.05+N314*0.03+O314*0.02+P314*0.05,1))</f>
        <v/>
      </c>
      <c r="S314" s="46">
        <f>IF(A314="","",RANK(R314,$R$2:$R$500,0))</f>
        <v/>
      </c>
    </row>
    <row r="315" ht="22" customHeight="1">
      <c r="A315" s="48" t="n"/>
      <c r="B315" s="51" t="n"/>
      <c r="C315" s="51" t="n"/>
      <c r="D315" s="51" t="n"/>
      <c r="E315" s="51" t="n"/>
      <c r="F315" s="48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>
        <f>IF(A315="","",ROUND(B315/10000*0.25+C315/10000*0.05+D315/10000*0.05+E315/10000*0.05+IF(F315="Yes",10,IF(F315="No",0,5))*0.10+IF(G315="Yes",10,IF(G315="No",0,5))*0.05+H315*0.10+I315*0.10+J315*0.05+K315*0.05+L315*0.05+M315*0.05+N315*0.03+O315*0.02+P315*0.05,1))</f>
        <v/>
      </c>
      <c r="S315" s="48">
        <f>IF(A315="","",RANK(R315,$R$2:$R$500,0))</f>
        <v/>
      </c>
    </row>
    <row r="316" ht="22" customHeight="1">
      <c r="A316" s="46" t="n"/>
      <c r="B316" s="50" t="n"/>
      <c r="C316" s="50" t="n"/>
      <c r="D316" s="50" t="n"/>
      <c r="E316" s="50" t="n"/>
      <c r="F316" s="46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>
        <f>IF(A316="","",ROUND(B316/10000*0.25+C316/10000*0.05+D316/10000*0.05+E316/10000*0.05+IF(F316="Yes",10,IF(F316="No",0,5))*0.10+IF(G316="Yes",10,IF(G316="No",0,5))*0.05+H316*0.10+I316*0.10+J316*0.05+K316*0.05+L316*0.05+M316*0.05+N316*0.03+O316*0.02+P316*0.05,1))</f>
        <v/>
      </c>
      <c r="S316" s="46">
        <f>IF(A316="","",RANK(R316,$R$2:$R$500,0))</f>
        <v/>
      </c>
    </row>
    <row r="317" ht="22" customHeight="1">
      <c r="A317" s="48" t="n"/>
      <c r="B317" s="51" t="n"/>
      <c r="C317" s="51" t="n"/>
      <c r="D317" s="51" t="n"/>
      <c r="E317" s="51" t="n"/>
      <c r="F317" s="48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>
        <f>IF(A317="","",ROUND(B317/10000*0.25+C317/10000*0.05+D317/10000*0.05+E317/10000*0.05+IF(F317="Yes",10,IF(F317="No",0,5))*0.10+IF(G317="Yes",10,IF(G317="No",0,5))*0.05+H317*0.10+I317*0.10+J317*0.05+K317*0.05+L317*0.05+M317*0.05+N317*0.03+O317*0.02+P317*0.05,1))</f>
        <v/>
      </c>
      <c r="S317" s="48">
        <f>IF(A317="","",RANK(R317,$R$2:$R$500,0))</f>
        <v/>
      </c>
    </row>
    <row r="318" ht="22" customHeight="1">
      <c r="A318" s="46" t="n"/>
      <c r="B318" s="50" t="n"/>
      <c r="C318" s="50" t="n"/>
      <c r="D318" s="50" t="n"/>
      <c r="E318" s="50" t="n"/>
      <c r="F318" s="46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>
        <f>IF(A318="","",ROUND(B318/10000*0.25+C318/10000*0.05+D318/10000*0.05+E318/10000*0.05+IF(F318="Yes",10,IF(F318="No",0,5))*0.10+IF(G318="Yes",10,IF(G318="No",0,5))*0.05+H318*0.10+I318*0.10+J318*0.05+K318*0.05+L318*0.05+M318*0.05+N318*0.03+O318*0.02+P318*0.05,1))</f>
        <v/>
      </c>
      <c r="S318" s="46">
        <f>IF(A318="","",RANK(R318,$R$2:$R$500,0))</f>
        <v/>
      </c>
    </row>
    <row r="319" ht="22" customHeight="1">
      <c r="A319" s="48" t="n"/>
      <c r="B319" s="51" t="n"/>
      <c r="C319" s="51" t="n"/>
      <c r="D319" s="51" t="n"/>
      <c r="E319" s="51" t="n"/>
      <c r="F319" s="48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>
        <f>IF(A319="","",ROUND(B319/10000*0.25+C319/10000*0.05+D319/10000*0.05+E319/10000*0.05+IF(F319="Yes",10,IF(F319="No",0,5))*0.10+IF(G319="Yes",10,IF(G319="No",0,5))*0.05+H319*0.10+I319*0.10+J319*0.05+K319*0.05+L319*0.05+M319*0.05+N319*0.03+O319*0.02+P319*0.05,1))</f>
        <v/>
      </c>
      <c r="S319" s="48">
        <f>IF(A319="","",RANK(R319,$R$2:$R$500,0))</f>
        <v/>
      </c>
    </row>
    <row r="320" ht="22" customHeight="1">
      <c r="A320" s="46" t="n"/>
      <c r="B320" s="50" t="n"/>
      <c r="C320" s="50" t="n"/>
      <c r="D320" s="50" t="n"/>
      <c r="E320" s="50" t="n"/>
      <c r="F320" s="46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>
        <f>IF(A320="","",ROUND(B320/10000*0.25+C320/10000*0.05+D320/10000*0.05+E320/10000*0.05+IF(F320="Yes",10,IF(F320="No",0,5))*0.10+IF(G320="Yes",10,IF(G320="No",0,5))*0.05+H320*0.10+I320*0.10+J320*0.05+K320*0.05+L320*0.05+M320*0.05+N320*0.03+O320*0.02+P320*0.05,1))</f>
        <v/>
      </c>
      <c r="S320" s="46">
        <f>IF(A320="","",RANK(R320,$R$2:$R$500,0))</f>
        <v/>
      </c>
    </row>
    <row r="321" ht="22" customHeight="1">
      <c r="A321" s="48" t="n"/>
      <c r="B321" s="51" t="n"/>
      <c r="C321" s="51" t="n"/>
      <c r="D321" s="51" t="n"/>
      <c r="E321" s="51" t="n"/>
      <c r="F321" s="48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>
        <f>IF(A321="","",ROUND(B321/10000*0.25+C321/10000*0.05+D321/10000*0.05+E321/10000*0.05+IF(F321="Yes",10,IF(F321="No",0,5))*0.10+IF(G321="Yes",10,IF(G321="No",0,5))*0.05+H321*0.10+I321*0.10+J321*0.05+K321*0.05+L321*0.05+M321*0.05+N321*0.03+O321*0.02+P321*0.05,1))</f>
        <v/>
      </c>
      <c r="S321" s="48">
        <f>IF(A321="","",RANK(R321,$R$2:$R$500,0))</f>
        <v/>
      </c>
    </row>
    <row r="322" ht="22" customHeight="1">
      <c r="A322" s="46" t="n"/>
      <c r="B322" s="50" t="n"/>
      <c r="C322" s="50" t="n"/>
      <c r="D322" s="50" t="n"/>
      <c r="E322" s="50" t="n"/>
      <c r="F322" s="46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>
        <f>IF(A322="","",ROUND(B322/10000*0.25+C322/10000*0.05+D322/10000*0.05+E322/10000*0.05+IF(F322="Yes",10,IF(F322="No",0,5))*0.10+IF(G322="Yes",10,IF(G322="No",0,5))*0.05+H322*0.10+I322*0.10+J322*0.05+K322*0.05+L322*0.05+M322*0.05+N322*0.03+O322*0.02+P322*0.05,1))</f>
        <v/>
      </c>
      <c r="S322" s="46">
        <f>IF(A322="","",RANK(R322,$R$2:$R$500,0))</f>
        <v/>
      </c>
    </row>
    <row r="323" ht="22" customHeight="1">
      <c r="A323" s="48" t="n"/>
      <c r="B323" s="51" t="n"/>
      <c r="C323" s="51" t="n"/>
      <c r="D323" s="51" t="n"/>
      <c r="E323" s="51" t="n"/>
      <c r="F323" s="48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>
        <f>IF(A323="","",ROUND(B323/10000*0.25+C323/10000*0.05+D323/10000*0.05+E323/10000*0.05+IF(F323="Yes",10,IF(F323="No",0,5))*0.10+IF(G323="Yes",10,IF(G323="No",0,5))*0.05+H323*0.10+I323*0.10+J323*0.05+K323*0.05+L323*0.05+M323*0.05+N323*0.03+O323*0.02+P323*0.05,1))</f>
        <v/>
      </c>
      <c r="S323" s="48">
        <f>IF(A323="","",RANK(R323,$R$2:$R$500,0))</f>
        <v/>
      </c>
    </row>
    <row r="324" ht="22" customHeight="1">
      <c r="A324" s="46" t="n"/>
      <c r="B324" s="50" t="n"/>
      <c r="C324" s="50" t="n"/>
      <c r="D324" s="50" t="n"/>
      <c r="E324" s="50" t="n"/>
      <c r="F324" s="46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>
        <f>IF(A324="","",ROUND(B324/10000*0.25+C324/10000*0.05+D324/10000*0.05+E324/10000*0.05+IF(F324="Yes",10,IF(F324="No",0,5))*0.10+IF(G324="Yes",10,IF(G324="No",0,5))*0.05+H324*0.10+I324*0.10+J324*0.05+K324*0.05+L324*0.05+M324*0.05+N324*0.03+O324*0.02+P324*0.05,1))</f>
        <v/>
      </c>
      <c r="S324" s="46">
        <f>IF(A324="","",RANK(R324,$R$2:$R$500,0))</f>
        <v/>
      </c>
    </row>
    <row r="325" ht="22" customHeight="1">
      <c r="A325" s="48" t="n"/>
      <c r="B325" s="51" t="n"/>
      <c r="C325" s="51" t="n"/>
      <c r="D325" s="51" t="n"/>
      <c r="E325" s="51" t="n"/>
      <c r="F325" s="48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>
        <f>IF(A325="","",ROUND(B325/10000*0.25+C325/10000*0.05+D325/10000*0.05+E325/10000*0.05+IF(F325="Yes",10,IF(F325="No",0,5))*0.10+IF(G325="Yes",10,IF(G325="No",0,5))*0.05+H325*0.10+I325*0.10+J325*0.05+K325*0.05+L325*0.05+M325*0.05+N325*0.03+O325*0.02+P325*0.05,1))</f>
        <v/>
      </c>
      <c r="S325" s="48">
        <f>IF(A325="","",RANK(R325,$R$2:$R$500,0))</f>
        <v/>
      </c>
    </row>
    <row r="326" ht="22" customHeight="1">
      <c r="A326" s="46" t="n"/>
      <c r="B326" s="50" t="n"/>
      <c r="C326" s="50" t="n"/>
      <c r="D326" s="50" t="n"/>
      <c r="E326" s="50" t="n"/>
      <c r="F326" s="46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>
        <f>IF(A326="","",ROUND(B326/10000*0.25+C326/10000*0.05+D326/10000*0.05+E326/10000*0.05+IF(F326="Yes",10,IF(F326="No",0,5))*0.10+IF(G326="Yes",10,IF(G326="No",0,5))*0.05+H326*0.10+I326*0.10+J326*0.05+K326*0.05+L326*0.05+M326*0.05+N326*0.03+O326*0.02+P326*0.05,1))</f>
        <v/>
      </c>
      <c r="S326" s="46">
        <f>IF(A326="","",RANK(R326,$R$2:$R$500,0))</f>
        <v/>
      </c>
    </row>
    <row r="327" ht="22" customHeight="1">
      <c r="A327" s="48" t="n"/>
      <c r="B327" s="51" t="n"/>
      <c r="C327" s="51" t="n"/>
      <c r="D327" s="51" t="n"/>
      <c r="E327" s="51" t="n"/>
      <c r="F327" s="48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>
        <f>IF(A327="","",ROUND(B327/10000*0.25+C327/10000*0.05+D327/10000*0.05+E327/10000*0.05+IF(F327="Yes",10,IF(F327="No",0,5))*0.10+IF(G327="Yes",10,IF(G327="No",0,5))*0.05+H327*0.10+I327*0.10+J327*0.05+K327*0.05+L327*0.05+M327*0.05+N327*0.03+O327*0.02+P327*0.05,1))</f>
        <v/>
      </c>
      <c r="S327" s="48">
        <f>IF(A327="","",RANK(R327,$R$2:$R$500,0))</f>
        <v/>
      </c>
    </row>
    <row r="328" ht="22" customHeight="1">
      <c r="A328" s="46" t="n"/>
      <c r="B328" s="50" t="n"/>
      <c r="C328" s="50" t="n"/>
      <c r="D328" s="50" t="n"/>
      <c r="E328" s="50" t="n"/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>
        <f>IF(A328="","",ROUND(B328/10000*0.25+C328/10000*0.05+D328/10000*0.05+E328/10000*0.05+IF(F328="Yes",10,IF(F328="No",0,5))*0.10+IF(G328="Yes",10,IF(G328="No",0,5))*0.05+H328*0.10+I328*0.10+J328*0.05+K328*0.05+L328*0.05+M328*0.05+N328*0.03+O328*0.02+P328*0.05,1))</f>
        <v/>
      </c>
      <c r="S328" s="46">
        <f>IF(A328="","",RANK(R328,$R$2:$R$500,0))</f>
        <v/>
      </c>
    </row>
    <row r="329" ht="22" customHeight="1">
      <c r="A329" s="48" t="n"/>
      <c r="B329" s="51" t="n"/>
      <c r="C329" s="51" t="n"/>
      <c r="D329" s="51" t="n"/>
      <c r="E329" s="51" t="n"/>
      <c r="F329" s="48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>
        <f>IF(A329="","",ROUND(B329/10000*0.25+C329/10000*0.05+D329/10000*0.05+E329/10000*0.05+IF(F329="Yes",10,IF(F329="No",0,5))*0.10+IF(G329="Yes",10,IF(G329="No",0,5))*0.05+H329*0.10+I329*0.10+J329*0.05+K329*0.05+L329*0.05+M329*0.05+N329*0.03+O329*0.02+P329*0.05,1))</f>
        <v/>
      </c>
      <c r="S329" s="48">
        <f>IF(A329="","",RANK(R329,$R$2:$R$500,0))</f>
        <v/>
      </c>
    </row>
    <row r="330" ht="22" customHeight="1">
      <c r="A330" s="46" t="n"/>
      <c r="B330" s="50" t="n"/>
      <c r="C330" s="50" t="n"/>
      <c r="D330" s="50" t="n"/>
      <c r="E330" s="50" t="n"/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>
        <f>IF(A330="","",ROUND(B330/10000*0.25+C330/10000*0.05+D330/10000*0.05+E330/10000*0.05+IF(F330="Yes",10,IF(F330="No",0,5))*0.10+IF(G330="Yes",10,IF(G330="No",0,5))*0.05+H330*0.10+I330*0.10+J330*0.05+K330*0.05+L330*0.05+M330*0.05+N330*0.03+O330*0.02+P330*0.05,1))</f>
        <v/>
      </c>
      <c r="S330" s="46">
        <f>IF(A330="","",RANK(R330,$R$2:$R$500,0))</f>
        <v/>
      </c>
    </row>
    <row r="331" ht="22" customHeight="1">
      <c r="A331" s="48" t="n"/>
      <c r="B331" s="51" t="n"/>
      <c r="C331" s="51" t="n"/>
      <c r="D331" s="51" t="n"/>
      <c r="E331" s="51" t="n"/>
      <c r="F331" s="48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>
        <f>IF(A331="","",ROUND(B331/10000*0.25+C331/10000*0.05+D331/10000*0.05+E331/10000*0.05+IF(F331="Yes",10,IF(F331="No",0,5))*0.10+IF(G331="Yes",10,IF(G331="No",0,5))*0.05+H331*0.10+I331*0.10+J331*0.05+K331*0.05+L331*0.05+M331*0.05+N331*0.03+O331*0.02+P331*0.05,1))</f>
        <v/>
      </c>
      <c r="S331" s="48">
        <f>IF(A331="","",RANK(R331,$R$2:$R$500,0))</f>
        <v/>
      </c>
    </row>
    <row r="332" ht="22" customHeight="1">
      <c r="A332" s="46" t="n"/>
      <c r="B332" s="50" t="n"/>
      <c r="C332" s="50" t="n"/>
      <c r="D332" s="50" t="n"/>
      <c r="E332" s="50" t="n"/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>
        <f>IF(A332="","",ROUND(B332/10000*0.25+C332/10000*0.05+D332/10000*0.05+E332/10000*0.05+IF(F332="Yes",10,IF(F332="No",0,5))*0.10+IF(G332="Yes",10,IF(G332="No",0,5))*0.05+H332*0.10+I332*0.10+J332*0.05+K332*0.05+L332*0.05+M332*0.05+N332*0.03+O332*0.02+P332*0.05,1))</f>
        <v/>
      </c>
      <c r="S332" s="46">
        <f>IF(A332="","",RANK(R332,$R$2:$R$500,0))</f>
        <v/>
      </c>
    </row>
    <row r="333" ht="22" customHeight="1">
      <c r="A333" s="48" t="n"/>
      <c r="B333" s="51" t="n"/>
      <c r="C333" s="51" t="n"/>
      <c r="D333" s="51" t="n"/>
      <c r="E333" s="51" t="n"/>
      <c r="F333" s="48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>
        <f>IF(A333="","",ROUND(B333/10000*0.25+C333/10000*0.05+D333/10000*0.05+E333/10000*0.05+IF(F333="Yes",10,IF(F333="No",0,5))*0.10+IF(G333="Yes",10,IF(G333="No",0,5))*0.05+H333*0.10+I333*0.10+J333*0.05+K333*0.05+L333*0.05+M333*0.05+N333*0.03+O333*0.02+P333*0.05,1))</f>
        <v/>
      </c>
      <c r="S333" s="48">
        <f>IF(A333="","",RANK(R333,$R$2:$R$500,0))</f>
        <v/>
      </c>
    </row>
    <row r="334" ht="22" customHeight="1">
      <c r="A334" s="46" t="n"/>
      <c r="B334" s="50" t="n"/>
      <c r="C334" s="50" t="n"/>
      <c r="D334" s="50" t="n"/>
      <c r="E334" s="50" t="n"/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>
        <f>IF(A334="","",ROUND(B334/10000*0.25+C334/10000*0.05+D334/10000*0.05+E334/10000*0.05+IF(F334="Yes",10,IF(F334="No",0,5))*0.10+IF(G334="Yes",10,IF(G334="No",0,5))*0.05+H334*0.10+I334*0.10+J334*0.05+K334*0.05+L334*0.05+M334*0.05+N334*0.03+O334*0.02+P334*0.05,1))</f>
        <v/>
      </c>
      <c r="S334" s="46">
        <f>IF(A334="","",RANK(R334,$R$2:$R$500,0))</f>
        <v/>
      </c>
    </row>
    <row r="335" ht="22" customHeight="1">
      <c r="A335" s="48" t="n"/>
      <c r="B335" s="51" t="n"/>
      <c r="C335" s="51" t="n"/>
      <c r="D335" s="51" t="n"/>
      <c r="E335" s="51" t="n"/>
      <c r="F335" s="48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>
        <f>IF(A335="","",ROUND(B335/10000*0.25+C335/10000*0.05+D335/10000*0.05+E335/10000*0.05+IF(F335="Yes",10,IF(F335="No",0,5))*0.10+IF(G335="Yes",10,IF(G335="No",0,5))*0.05+H335*0.10+I335*0.10+J335*0.05+K335*0.05+L335*0.05+M335*0.05+N335*0.03+O335*0.02+P335*0.05,1))</f>
        <v/>
      </c>
      <c r="S335" s="48">
        <f>IF(A335="","",RANK(R335,$R$2:$R$500,0))</f>
        <v/>
      </c>
    </row>
    <row r="336" ht="22" customHeight="1">
      <c r="A336" s="46" t="n"/>
      <c r="B336" s="50" t="n"/>
      <c r="C336" s="50" t="n"/>
      <c r="D336" s="50" t="n"/>
      <c r="E336" s="50" t="n"/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>
        <f>IF(A336="","",ROUND(B336/10000*0.25+C336/10000*0.05+D336/10000*0.05+E336/10000*0.05+IF(F336="Yes",10,IF(F336="No",0,5))*0.10+IF(G336="Yes",10,IF(G336="No",0,5))*0.05+H336*0.10+I336*0.10+J336*0.05+K336*0.05+L336*0.05+M336*0.05+N336*0.03+O336*0.02+P336*0.05,1))</f>
        <v/>
      </c>
      <c r="S336" s="46">
        <f>IF(A336="","",RANK(R336,$R$2:$R$500,0))</f>
        <v/>
      </c>
    </row>
    <row r="337" ht="22" customHeight="1">
      <c r="A337" s="48" t="n"/>
      <c r="B337" s="51" t="n"/>
      <c r="C337" s="51" t="n"/>
      <c r="D337" s="51" t="n"/>
      <c r="E337" s="51" t="n"/>
      <c r="F337" s="48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>
        <f>IF(A337="","",ROUND(B337/10000*0.25+C337/10000*0.05+D337/10000*0.05+E337/10000*0.05+IF(F337="Yes",10,IF(F337="No",0,5))*0.10+IF(G337="Yes",10,IF(G337="No",0,5))*0.05+H337*0.10+I337*0.10+J337*0.05+K337*0.05+L337*0.05+M337*0.05+N337*0.03+O337*0.02+P337*0.05,1))</f>
        <v/>
      </c>
      <c r="S337" s="48">
        <f>IF(A337="","",RANK(R337,$R$2:$R$500,0))</f>
        <v/>
      </c>
    </row>
    <row r="338" ht="22" customHeight="1">
      <c r="A338" s="46" t="n"/>
      <c r="B338" s="50" t="n"/>
      <c r="C338" s="50" t="n"/>
      <c r="D338" s="50" t="n"/>
      <c r="E338" s="50" t="n"/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>
        <f>IF(A338="","",ROUND(B338/10000*0.25+C338/10000*0.05+D338/10000*0.05+E338/10000*0.05+IF(F338="Yes",10,IF(F338="No",0,5))*0.10+IF(G338="Yes",10,IF(G338="No",0,5))*0.05+H338*0.10+I338*0.10+J338*0.05+K338*0.05+L338*0.05+M338*0.05+N338*0.03+O338*0.02+P338*0.05,1))</f>
        <v/>
      </c>
      <c r="S338" s="46">
        <f>IF(A338="","",RANK(R338,$R$2:$R$500,0))</f>
        <v/>
      </c>
    </row>
    <row r="339" ht="22" customHeight="1">
      <c r="A339" s="48" t="n"/>
      <c r="B339" s="51" t="n"/>
      <c r="C339" s="51" t="n"/>
      <c r="D339" s="51" t="n"/>
      <c r="E339" s="51" t="n"/>
      <c r="F339" s="48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>
        <f>IF(A339="","",ROUND(B339/10000*0.25+C339/10000*0.05+D339/10000*0.05+E339/10000*0.05+IF(F339="Yes",10,IF(F339="No",0,5))*0.10+IF(G339="Yes",10,IF(G339="No",0,5))*0.05+H339*0.10+I339*0.10+J339*0.05+K339*0.05+L339*0.05+M339*0.05+N339*0.03+O339*0.02+P339*0.05,1))</f>
        <v/>
      </c>
      <c r="S339" s="48">
        <f>IF(A339="","",RANK(R339,$R$2:$R$500,0))</f>
        <v/>
      </c>
    </row>
    <row r="340" ht="22" customHeight="1">
      <c r="A340" s="46" t="n"/>
      <c r="B340" s="50" t="n"/>
      <c r="C340" s="50" t="n"/>
      <c r="D340" s="50" t="n"/>
      <c r="E340" s="50" t="n"/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>
        <f>IF(A340="","",ROUND(B340/10000*0.25+C340/10000*0.05+D340/10000*0.05+E340/10000*0.05+IF(F340="Yes",10,IF(F340="No",0,5))*0.10+IF(G340="Yes",10,IF(G340="No",0,5))*0.05+H340*0.10+I340*0.10+J340*0.05+K340*0.05+L340*0.05+M340*0.05+N340*0.03+O340*0.02+P340*0.05,1))</f>
        <v/>
      </c>
      <c r="S340" s="46">
        <f>IF(A340="","",RANK(R340,$R$2:$R$500,0))</f>
        <v/>
      </c>
    </row>
    <row r="341" ht="22" customHeight="1">
      <c r="A341" s="48" t="n"/>
      <c r="B341" s="51" t="n"/>
      <c r="C341" s="51" t="n"/>
      <c r="D341" s="51" t="n"/>
      <c r="E341" s="51" t="n"/>
      <c r="F341" s="48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>
        <f>IF(A341="","",ROUND(B341/10000*0.25+C341/10000*0.05+D341/10000*0.05+E341/10000*0.05+IF(F341="Yes",10,IF(F341="No",0,5))*0.10+IF(G341="Yes",10,IF(G341="No",0,5))*0.05+H341*0.10+I341*0.10+J341*0.05+K341*0.05+L341*0.05+M341*0.05+N341*0.03+O341*0.02+P341*0.05,1))</f>
        <v/>
      </c>
      <c r="S341" s="48">
        <f>IF(A341="","",RANK(R341,$R$2:$R$500,0))</f>
        <v/>
      </c>
    </row>
    <row r="342" ht="22" customHeight="1">
      <c r="A342" s="46" t="n"/>
      <c r="B342" s="50" t="n"/>
      <c r="C342" s="50" t="n"/>
      <c r="D342" s="50" t="n"/>
      <c r="E342" s="50" t="n"/>
      <c r="F342" s="46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>
        <f>IF(A342="","",ROUND(B342/10000*0.25+C342/10000*0.05+D342/10000*0.05+E342/10000*0.05+IF(F342="Yes",10,IF(F342="No",0,5))*0.10+IF(G342="Yes",10,IF(G342="No",0,5))*0.05+H342*0.10+I342*0.10+J342*0.05+K342*0.05+L342*0.05+M342*0.05+N342*0.03+O342*0.02+P342*0.05,1))</f>
        <v/>
      </c>
      <c r="S342" s="46">
        <f>IF(A342="","",RANK(R342,$R$2:$R$500,0))</f>
        <v/>
      </c>
    </row>
    <row r="343" ht="22" customHeight="1">
      <c r="A343" s="48" t="n"/>
      <c r="B343" s="51" t="n"/>
      <c r="C343" s="51" t="n"/>
      <c r="D343" s="51" t="n"/>
      <c r="E343" s="51" t="n"/>
      <c r="F343" s="48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>
        <f>IF(A343="","",ROUND(B343/10000*0.25+C343/10000*0.05+D343/10000*0.05+E343/10000*0.05+IF(F343="Yes",10,IF(F343="No",0,5))*0.10+IF(G343="Yes",10,IF(G343="No",0,5))*0.05+H343*0.10+I343*0.10+J343*0.05+K343*0.05+L343*0.05+M343*0.05+N343*0.03+O343*0.02+P343*0.05,1))</f>
        <v/>
      </c>
      <c r="S343" s="48">
        <f>IF(A343="","",RANK(R343,$R$2:$R$500,0))</f>
        <v/>
      </c>
    </row>
    <row r="344" ht="22" customHeight="1">
      <c r="A344" s="46" t="n"/>
      <c r="B344" s="50" t="n"/>
      <c r="C344" s="50" t="n"/>
      <c r="D344" s="50" t="n"/>
      <c r="E344" s="50" t="n"/>
      <c r="F344" s="46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>
        <f>IF(A344="","",ROUND(B344/10000*0.25+C344/10000*0.05+D344/10000*0.05+E344/10000*0.05+IF(F344="Yes",10,IF(F344="No",0,5))*0.10+IF(G344="Yes",10,IF(G344="No",0,5))*0.05+H344*0.10+I344*0.10+J344*0.05+K344*0.05+L344*0.05+M344*0.05+N344*0.03+O344*0.02+P344*0.05,1))</f>
        <v/>
      </c>
      <c r="S344" s="46">
        <f>IF(A344="","",RANK(R344,$R$2:$R$500,0))</f>
        <v/>
      </c>
    </row>
    <row r="345" ht="22" customHeight="1">
      <c r="A345" s="48" t="n"/>
      <c r="B345" s="51" t="n"/>
      <c r="C345" s="51" t="n"/>
      <c r="D345" s="51" t="n"/>
      <c r="E345" s="51" t="n"/>
      <c r="F345" s="48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>
        <f>IF(A345="","",ROUND(B345/10000*0.25+C345/10000*0.05+D345/10000*0.05+E345/10000*0.05+IF(F345="Yes",10,IF(F345="No",0,5))*0.10+IF(G345="Yes",10,IF(G345="No",0,5))*0.05+H345*0.10+I345*0.10+J345*0.05+K345*0.05+L345*0.05+M345*0.05+N345*0.03+O345*0.02+P345*0.05,1))</f>
        <v/>
      </c>
      <c r="S345" s="48">
        <f>IF(A345="","",RANK(R345,$R$2:$R$500,0))</f>
        <v/>
      </c>
    </row>
    <row r="346" ht="22" customHeight="1">
      <c r="A346" s="46" t="n"/>
      <c r="B346" s="50" t="n"/>
      <c r="C346" s="50" t="n"/>
      <c r="D346" s="50" t="n"/>
      <c r="E346" s="50" t="n"/>
      <c r="F346" s="46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>
        <f>IF(A346="","",ROUND(B346/10000*0.25+C346/10000*0.05+D346/10000*0.05+E346/10000*0.05+IF(F346="Yes",10,IF(F346="No",0,5))*0.10+IF(G346="Yes",10,IF(G346="No",0,5))*0.05+H346*0.10+I346*0.10+J346*0.05+K346*0.05+L346*0.05+M346*0.05+N346*0.03+O346*0.02+P346*0.05,1))</f>
        <v/>
      </c>
      <c r="S346" s="46">
        <f>IF(A346="","",RANK(R346,$R$2:$R$500,0))</f>
        <v/>
      </c>
    </row>
    <row r="347" ht="22" customHeight="1">
      <c r="A347" s="48" t="n"/>
      <c r="B347" s="51" t="n"/>
      <c r="C347" s="51" t="n"/>
      <c r="D347" s="51" t="n"/>
      <c r="E347" s="51" t="n"/>
      <c r="F347" s="48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>
        <f>IF(A347="","",ROUND(B347/10000*0.25+C347/10000*0.05+D347/10000*0.05+E347/10000*0.05+IF(F347="Yes",10,IF(F347="No",0,5))*0.10+IF(G347="Yes",10,IF(G347="No",0,5))*0.05+H347*0.10+I347*0.10+J347*0.05+K347*0.05+L347*0.05+M347*0.05+N347*0.03+O347*0.02+P347*0.05,1))</f>
        <v/>
      </c>
      <c r="S347" s="48">
        <f>IF(A347="","",RANK(R347,$R$2:$R$500,0))</f>
        <v/>
      </c>
    </row>
    <row r="348" ht="22" customHeight="1">
      <c r="A348" s="46" t="n"/>
      <c r="B348" s="50" t="n"/>
      <c r="C348" s="50" t="n"/>
      <c r="D348" s="50" t="n"/>
      <c r="E348" s="50" t="n"/>
      <c r="F348" s="46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>
        <f>IF(A348="","",ROUND(B348/10000*0.25+C348/10000*0.05+D348/10000*0.05+E348/10000*0.05+IF(F348="Yes",10,IF(F348="No",0,5))*0.10+IF(G348="Yes",10,IF(G348="No",0,5))*0.05+H348*0.10+I348*0.10+J348*0.05+K348*0.05+L348*0.05+M348*0.05+N348*0.03+O348*0.02+P348*0.05,1))</f>
        <v/>
      </c>
      <c r="S348" s="46">
        <f>IF(A348="","",RANK(R348,$R$2:$R$500,0))</f>
        <v/>
      </c>
    </row>
    <row r="349" ht="22" customHeight="1">
      <c r="A349" s="48" t="n"/>
      <c r="B349" s="51" t="n"/>
      <c r="C349" s="51" t="n"/>
      <c r="D349" s="51" t="n"/>
      <c r="E349" s="51" t="n"/>
      <c r="F349" s="48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>
        <f>IF(A349="","",ROUND(B349/10000*0.25+C349/10000*0.05+D349/10000*0.05+E349/10000*0.05+IF(F349="Yes",10,IF(F349="No",0,5))*0.10+IF(G349="Yes",10,IF(G349="No",0,5))*0.05+H349*0.10+I349*0.10+J349*0.05+K349*0.05+L349*0.05+M349*0.05+N349*0.03+O349*0.02+P349*0.05,1))</f>
        <v/>
      </c>
      <c r="S349" s="48">
        <f>IF(A349="","",RANK(R349,$R$2:$R$500,0))</f>
        <v/>
      </c>
    </row>
    <row r="350" ht="22" customHeight="1">
      <c r="A350" s="46" t="n"/>
      <c r="B350" s="50" t="n"/>
      <c r="C350" s="50" t="n"/>
      <c r="D350" s="50" t="n"/>
      <c r="E350" s="50" t="n"/>
      <c r="F350" s="46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>
        <f>IF(A350="","",ROUND(B350/10000*0.25+C350/10000*0.05+D350/10000*0.05+E350/10000*0.05+IF(F350="Yes",10,IF(F350="No",0,5))*0.10+IF(G350="Yes",10,IF(G350="No",0,5))*0.05+H350*0.10+I350*0.10+J350*0.05+K350*0.05+L350*0.05+M350*0.05+N350*0.03+O350*0.02+P350*0.05,1))</f>
        <v/>
      </c>
      <c r="S350" s="46">
        <f>IF(A350="","",RANK(R350,$R$2:$R$500,0))</f>
        <v/>
      </c>
    </row>
    <row r="351" ht="22" customHeight="1">
      <c r="A351" s="48" t="n"/>
      <c r="B351" s="51" t="n"/>
      <c r="C351" s="51" t="n"/>
      <c r="D351" s="51" t="n"/>
      <c r="E351" s="51" t="n"/>
      <c r="F351" s="48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>
        <f>IF(A351="","",ROUND(B351/10000*0.25+C351/10000*0.05+D351/10000*0.05+E351/10000*0.05+IF(F351="Yes",10,IF(F351="No",0,5))*0.10+IF(G351="Yes",10,IF(G351="No",0,5))*0.05+H351*0.10+I351*0.10+J351*0.05+K351*0.05+L351*0.05+M351*0.05+N351*0.03+O351*0.02+P351*0.05,1))</f>
        <v/>
      </c>
      <c r="S351" s="48">
        <f>IF(A351="","",RANK(R351,$R$2:$R$500,0))</f>
        <v/>
      </c>
    </row>
    <row r="352" ht="22" customHeight="1">
      <c r="A352" s="46" t="n"/>
      <c r="B352" s="50" t="n"/>
      <c r="C352" s="50" t="n"/>
      <c r="D352" s="50" t="n"/>
      <c r="E352" s="50" t="n"/>
      <c r="F352" s="46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>
        <f>IF(A352="","",ROUND(B352/10000*0.25+C352/10000*0.05+D352/10000*0.05+E352/10000*0.05+IF(F352="Yes",10,IF(F352="No",0,5))*0.10+IF(G352="Yes",10,IF(G352="No",0,5))*0.05+H352*0.10+I352*0.10+J352*0.05+K352*0.05+L352*0.05+M352*0.05+N352*0.03+O352*0.02+P352*0.05,1))</f>
        <v/>
      </c>
      <c r="S352" s="46">
        <f>IF(A352="","",RANK(R352,$R$2:$R$500,0))</f>
        <v/>
      </c>
    </row>
    <row r="353" ht="22" customHeight="1">
      <c r="A353" s="48" t="n"/>
      <c r="B353" s="51" t="n"/>
      <c r="C353" s="51" t="n"/>
      <c r="D353" s="51" t="n"/>
      <c r="E353" s="51" t="n"/>
      <c r="F353" s="48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>
        <f>IF(A353="","",ROUND(B353/10000*0.25+C353/10000*0.05+D353/10000*0.05+E353/10000*0.05+IF(F353="Yes",10,IF(F353="No",0,5))*0.10+IF(G353="Yes",10,IF(G353="No",0,5))*0.05+H353*0.10+I353*0.10+J353*0.05+K353*0.05+L353*0.05+M353*0.05+N353*0.03+O353*0.02+P353*0.05,1))</f>
        <v/>
      </c>
      <c r="S353" s="48">
        <f>IF(A353="","",RANK(R353,$R$2:$R$500,0))</f>
        <v/>
      </c>
    </row>
    <row r="354" ht="22" customHeight="1">
      <c r="A354" s="46" t="n"/>
      <c r="B354" s="50" t="n"/>
      <c r="C354" s="50" t="n"/>
      <c r="D354" s="50" t="n"/>
      <c r="E354" s="50" t="n"/>
      <c r="F354" s="46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>
        <f>IF(A354="","",ROUND(B354/10000*0.25+C354/10000*0.05+D354/10000*0.05+E354/10000*0.05+IF(F354="Yes",10,IF(F354="No",0,5))*0.10+IF(G354="Yes",10,IF(G354="No",0,5))*0.05+H354*0.10+I354*0.10+J354*0.05+K354*0.05+L354*0.05+M354*0.05+N354*0.03+O354*0.02+P354*0.05,1))</f>
        <v/>
      </c>
      <c r="S354" s="46">
        <f>IF(A354="","",RANK(R354,$R$2:$R$500,0))</f>
        <v/>
      </c>
    </row>
    <row r="355" ht="22" customHeight="1">
      <c r="A355" s="48" t="n"/>
      <c r="B355" s="51" t="n"/>
      <c r="C355" s="51" t="n"/>
      <c r="D355" s="51" t="n"/>
      <c r="E355" s="51" t="n"/>
      <c r="F355" s="48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>
        <f>IF(A355="","",ROUND(B355/10000*0.25+C355/10000*0.05+D355/10000*0.05+E355/10000*0.05+IF(F355="Yes",10,IF(F355="No",0,5))*0.10+IF(G355="Yes",10,IF(G355="No",0,5))*0.05+H355*0.10+I355*0.10+J355*0.05+K355*0.05+L355*0.05+M355*0.05+N355*0.03+O355*0.02+P355*0.05,1))</f>
        <v/>
      </c>
      <c r="S355" s="48">
        <f>IF(A355="","",RANK(R355,$R$2:$R$500,0))</f>
        <v/>
      </c>
    </row>
    <row r="356" ht="22" customHeight="1">
      <c r="A356" s="46" t="n"/>
      <c r="B356" s="50" t="n"/>
      <c r="C356" s="50" t="n"/>
      <c r="D356" s="50" t="n"/>
      <c r="E356" s="50" t="n"/>
      <c r="F356" s="46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>
        <f>IF(A356="","",ROUND(B356/10000*0.25+C356/10000*0.05+D356/10000*0.05+E356/10000*0.05+IF(F356="Yes",10,IF(F356="No",0,5))*0.10+IF(G356="Yes",10,IF(G356="No",0,5))*0.05+H356*0.10+I356*0.10+J356*0.05+K356*0.05+L356*0.05+M356*0.05+N356*0.03+O356*0.02+P356*0.05,1))</f>
        <v/>
      </c>
      <c r="S356" s="46">
        <f>IF(A356="","",RANK(R356,$R$2:$R$500,0))</f>
        <v/>
      </c>
    </row>
    <row r="357" ht="22" customHeight="1">
      <c r="A357" s="48" t="n"/>
      <c r="B357" s="51" t="n"/>
      <c r="C357" s="51" t="n"/>
      <c r="D357" s="51" t="n"/>
      <c r="E357" s="51" t="n"/>
      <c r="F357" s="48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>
        <f>IF(A357="","",ROUND(B357/10000*0.25+C357/10000*0.05+D357/10000*0.05+E357/10000*0.05+IF(F357="Yes",10,IF(F357="No",0,5))*0.10+IF(G357="Yes",10,IF(G357="No",0,5))*0.05+H357*0.10+I357*0.10+J357*0.05+K357*0.05+L357*0.05+M357*0.05+N357*0.03+O357*0.02+P357*0.05,1))</f>
        <v/>
      </c>
      <c r="S357" s="48">
        <f>IF(A357="","",RANK(R357,$R$2:$R$500,0))</f>
        <v/>
      </c>
    </row>
    <row r="358" ht="22" customHeight="1">
      <c r="A358" s="46" t="n"/>
      <c r="B358" s="50" t="n"/>
      <c r="C358" s="50" t="n"/>
      <c r="D358" s="50" t="n"/>
      <c r="E358" s="50" t="n"/>
      <c r="F358" s="46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>
        <f>IF(A358="","",ROUND(B358/10000*0.25+C358/10000*0.05+D358/10000*0.05+E358/10000*0.05+IF(F358="Yes",10,IF(F358="No",0,5))*0.10+IF(G358="Yes",10,IF(G358="No",0,5))*0.05+H358*0.10+I358*0.10+J358*0.05+K358*0.05+L358*0.05+M358*0.05+N358*0.03+O358*0.02+P358*0.05,1))</f>
        <v/>
      </c>
      <c r="S358" s="46">
        <f>IF(A358="","",RANK(R358,$R$2:$R$500,0))</f>
        <v/>
      </c>
    </row>
    <row r="359" ht="22" customHeight="1">
      <c r="A359" s="48" t="n"/>
      <c r="B359" s="51" t="n"/>
      <c r="C359" s="51" t="n"/>
      <c r="D359" s="51" t="n"/>
      <c r="E359" s="51" t="n"/>
      <c r="F359" s="48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>
        <f>IF(A359="","",ROUND(B359/10000*0.25+C359/10000*0.05+D359/10000*0.05+E359/10000*0.05+IF(F359="Yes",10,IF(F359="No",0,5))*0.10+IF(G359="Yes",10,IF(G359="No",0,5))*0.05+H359*0.10+I359*0.10+J359*0.05+K359*0.05+L359*0.05+M359*0.05+N359*0.03+O359*0.02+P359*0.05,1))</f>
        <v/>
      </c>
      <c r="S359" s="48">
        <f>IF(A359="","",RANK(R359,$R$2:$R$500,0))</f>
        <v/>
      </c>
    </row>
    <row r="360" ht="22" customHeight="1">
      <c r="A360" s="46" t="n"/>
      <c r="B360" s="50" t="n"/>
      <c r="C360" s="50" t="n"/>
      <c r="D360" s="50" t="n"/>
      <c r="E360" s="50" t="n"/>
      <c r="F360" s="46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>
        <f>IF(A360="","",ROUND(B360/10000*0.25+C360/10000*0.05+D360/10000*0.05+E360/10000*0.05+IF(F360="Yes",10,IF(F360="No",0,5))*0.10+IF(G360="Yes",10,IF(G360="No",0,5))*0.05+H360*0.10+I360*0.10+J360*0.05+K360*0.05+L360*0.05+M360*0.05+N360*0.03+O360*0.02+P360*0.05,1))</f>
        <v/>
      </c>
      <c r="S360" s="46">
        <f>IF(A360="","",RANK(R360,$R$2:$R$500,0))</f>
        <v/>
      </c>
    </row>
    <row r="361" ht="22" customHeight="1">
      <c r="A361" s="48" t="n"/>
      <c r="B361" s="51" t="n"/>
      <c r="C361" s="51" t="n"/>
      <c r="D361" s="51" t="n"/>
      <c r="E361" s="51" t="n"/>
      <c r="F361" s="48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>
        <f>IF(A361="","",ROUND(B361/10000*0.25+C361/10000*0.05+D361/10000*0.05+E361/10000*0.05+IF(F361="Yes",10,IF(F361="No",0,5))*0.10+IF(G361="Yes",10,IF(G361="No",0,5))*0.05+H361*0.10+I361*0.10+J361*0.05+K361*0.05+L361*0.05+M361*0.05+N361*0.03+O361*0.02+P361*0.05,1))</f>
        <v/>
      </c>
      <c r="S361" s="48">
        <f>IF(A361="","",RANK(R361,$R$2:$R$500,0))</f>
        <v/>
      </c>
    </row>
    <row r="362" ht="22" customHeight="1">
      <c r="A362" s="46" t="n"/>
      <c r="B362" s="50" t="n"/>
      <c r="C362" s="50" t="n"/>
      <c r="D362" s="50" t="n"/>
      <c r="E362" s="50" t="n"/>
      <c r="F362" s="46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>
        <f>IF(A362="","",ROUND(B362/10000*0.25+C362/10000*0.05+D362/10000*0.05+E362/10000*0.05+IF(F362="Yes",10,IF(F362="No",0,5))*0.10+IF(G362="Yes",10,IF(G362="No",0,5))*0.05+H362*0.10+I362*0.10+J362*0.05+K362*0.05+L362*0.05+M362*0.05+N362*0.03+O362*0.02+P362*0.05,1))</f>
        <v/>
      </c>
      <c r="S362" s="46">
        <f>IF(A362="","",RANK(R362,$R$2:$R$500,0))</f>
        <v/>
      </c>
    </row>
    <row r="363" ht="22" customHeight="1">
      <c r="A363" s="48" t="n"/>
      <c r="B363" s="51" t="n"/>
      <c r="C363" s="51" t="n"/>
      <c r="D363" s="51" t="n"/>
      <c r="E363" s="51" t="n"/>
      <c r="F363" s="48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>
        <f>IF(A363="","",ROUND(B363/10000*0.25+C363/10000*0.05+D363/10000*0.05+E363/10000*0.05+IF(F363="Yes",10,IF(F363="No",0,5))*0.10+IF(G363="Yes",10,IF(G363="No",0,5))*0.05+H363*0.10+I363*0.10+J363*0.05+K363*0.05+L363*0.05+M363*0.05+N363*0.03+O363*0.02+P363*0.05,1))</f>
        <v/>
      </c>
      <c r="S363" s="48">
        <f>IF(A363="","",RANK(R363,$R$2:$R$500,0))</f>
        <v/>
      </c>
    </row>
    <row r="364" ht="22" customHeight="1">
      <c r="A364" s="46" t="n"/>
      <c r="B364" s="50" t="n"/>
      <c r="C364" s="50" t="n"/>
      <c r="D364" s="50" t="n"/>
      <c r="E364" s="50" t="n"/>
      <c r="F364" s="46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>
        <f>IF(A364="","",ROUND(B364/10000*0.25+C364/10000*0.05+D364/10000*0.05+E364/10000*0.05+IF(F364="Yes",10,IF(F364="No",0,5))*0.10+IF(G364="Yes",10,IF(G364="No",0,5))*0.05+H364*0.10+I364*0.10+J364*0.05+K364*0.05+L364*0.05+M364*0.05+N364*0.03+O364*0.02+P364*0.05,1))</f>
        <v/>
      </c>
      <c r="S364" s="46">
        <f>IF(A364="","",RANK(R364,$R$2:$R$500,0))</f>
        <v/>
      </c>
    </row>
    <row r="365" ht="22" customHeight="1">
      <c r="A365" s="48" t="n"/>
      <c r="B365" s="51" t="n"/>
      <c r="C365" s="51" t="n"/>
      <c r="D365" s="51" t="n"/>
      <c r="E365" s="51" t="n"/>
      <c r="F365" s="48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>
        <f>IF(A365="","",ROUND(B365/10000*0.25+C365/10000*0.05+D365/10000*0.05+E365/10000*0.05+IF(F365="Yes",10,IF(F365="No",0,5))*0.10+IF(G365="Yes",10,IF(G365="No",0,5))*0.05+H365*0.10+I365*0.10+J365*0.05+K365*0.05+L365*0.05+M365*0.05+N365*0.03+O365*0.02+P365*0.05,1))</f>
        <v/>
      </c>
      <c r="S365" s="48">
        <f>IF(A365="","",RANK(R365,$R$2:$R$500,0))</f>
        <v/>
      </c>
    </row>
    <row r="366" ht="22" customHeight="1">
      <c r="A366" s="46" t="n"/>
      <c r="B366" s="50" t="n"/>
      <c r="C366" s="50" t="n"/>
      <c r="D366" s="50" t="n"/>
      <c r="E366" s="50" t="n"/>
      <c r="F366" s="46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>
        <f>IF(A366="","",ROUND(B366/10000*0.25+C366/10000*0.05+D366/10000*0.05+E366/10000*0.05+IF(F366="Yes",10,IF(F366="No",0,5))*0.10+IF(G366="Yes",10,IF(G366="No",0,5))*0.05+H366*0.10+I366*0.10+J366*0.05+K366*0.05+L366*0.05+M366*0.05+N366*0.03+O366*0.02+P366*0.05,1))</f>
        <v/>
      </c>
      <c r="S366" s="46">
        <f>IF(A366="","",RANK(R366,$R$2:$R$500,0))</f>
        <v/>
      </c>
    </row>
    <row r="367" ht="22" customHeight="1">
      <c r="A367" s="48" t="n"/>
      <c r="B367" s="51" t="n"/>
      <c r="C367" s="51" t="n"/>
      <c r="D367" s="51" t="n"/>
      <c r="E367" s="51" t="n"/>
      <c r="F367" s="48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>
        <f>IF(A367="","",ROUND(B367/10000*0.25+C367/10000*0.05+D367/10000*0.05+E367/10000*0.05+IF(F367="Yes",10,IF(F367="No",0,5))*0.10+IF(G367="Yes",10,IF(G367="No",0,5))*0.05+H367*0.10+I367*0.10+J367*0.05+K367*0.05+L367*0.05+M367*0.05+N367*0.03+O367*0.02+P367*0.05,1))</f>
        <v/>
      </c>
      <c r="S367" s="48">
        <f>IF(A367="","",RANK(R367,$R$2:$R$500,0))</f>
        <v/>
      </c>
    </row>
    <row r="368" ht="22" customHeight="1">
      <c r="A368" s="46" t="n"/>
      <c r="B368" s="50" t="n"/>
      <c r="C368" s="50" t="n"/>
      <c r="D368" s="50" t="n"/>
      <c r="E368" s="50" t="n"/>
      <c r="F368" s="46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>
        <f>IF(A368="","",ROUND(B368/10000*0.25+C368/10000*0.05+D368/10000*0.05+E368/10000*0.05+IF(F368="Yes",10,IF(F368="No",0,5))*0.10+IF(G368="Yes",10,IF(G368="No",0,5))*0.05+H368*0.10+I368*0.10+J368*0.05+K368*0.05+L368*0.05+M368*0.05+N368*0.03+O368*0.02+P368*0.05,1))</f>
        <v/>
      </c>
      <c r="S368" s="46">
        <f>IF(A368="","",RANK(R368,$R$2:$R$500,0))</f>
        <v/>
      </c>
    </row>
    <row r="369" ht="22" customHeight="1">
      <c r="A369" s="48" t="n"/>
      <c r="B369" s="51" t="n"/>
      <c r="C369" s="51" t="n"/>
      <c r="D369" s="51" t="n"/>
      <c r="E369" s="51" t="n"/>
      <c r="F369" s="48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>
        <f>IF(A369="","",ROUND(B369/10000*0.25+C369/10000*0.05+D369/10000*0.05+E369/10000*0.05+IF(F369="Yes",10,IF(F369="No",0,5))*0.10+IF(G369="Yes",10,IF(G369="No",0,5))*0.05+H369*0.10+I369*0.10+J369*0.05+K369*0.05+L369*0.05+M369*0.05+N369*0.03+O369*0.02+P369*0.05,1))</f>
        <v/>
      </c>
      <c r="S369" s="48">
        <f>IF(A369="","",RANK(R369,$R$2:$R$500,0))</f>
        <v/>
      </c>
    </row>
    <row r="370" ht="22" customHeight="1">
      <c r="A370" s="46" t="n"/>
      <c r="B370" s="50" t="n"/>
      <c r="C370" s="50" t="n"/>
      <c r="D370" s="50" t="n"/>
      <c r="E370" s="50" t="n"/>
      <c r="F370" s="46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>
        <f>IF(A370="","",ROUND(B370/10000*0.25+C370/10000*0.05+D370/10000*0.05+E370/10000*0.05+IF(F370="Yes",10,IF(F370="No",0,5))*0.10+IF(G370="Yes",10,IF(G370="No",0,5))*0.05+H370*0.10+I370*0.10+J370*0.05+K370*0.05+L370*0.05+M370*0.05+N370*0.03+O370*0.02+P370*0.05,1))</f>
        <v/>
      </c>
      <c r="S370" s="46">
        <f>IF(A370="","",RANK(R370,$R$2:$R$500,0))</f>
        <v/>
      </c>
    </row>
    <row r="371" ht="22" customHeight="1">
      <c r="A371" s="48" t="n"/>
      <c r="B371" s="51" t="n"/>
      <c r="C371" s="51" t="n"/>
      <c r="D371" s="51" t="n"/>
      <c r="E371" s="51" t="n"/>
      <c r="F371" s="48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>
        <f>IF(A371="","",ROUND(B371/10000*0.25+C371/10000*0.05+D371/10000*0.05+E371/10000*0.05+IF(F371="Yes",10,IF(F371="No",0,5))*0.10+IF(G371="Yes",10,IF(G371="No",0,5))*0.05+H371*0.10+I371*0.10+J371*0.05+K371*0.05+L371*0.05+M371*0.05+N371*0.03+O371*0.02+P371*0.05,1))</f>
        <v/>
      </c>
      <c r="S371" s="48">
        <f>IF(A371="","",RANK(R371,$R$2:$R$500,0))</f>
        <v/>
      </c>
    </row>
    <row r="372" ht="22" customHeight="1">
      <c r="A372" s="46" t="n"/>
      <c r="B372" s="50" t="n"/>
      <c r="C372" s="50" t="n"/>
      <c r="D372" s="50" t="n"/>
      <c r="E372" s="50" t="n"/>
      <c r="F372" s="46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>
        <f>IF(A372="","",ROUND(B372/10000*0.25+C372/10000*0.05+D372/10000*0.05+E372/10000*0.05+IF(F372="Yes",10,IF(F372="No",0,5))*0.10+IF(G372="Yes",10,IF(G372="No",0,5))*0.05+H372*0.10+I372*0.10+J372*0.05+K372*0.05+L372*0.05+M372*0.05+N372*0.03+O372*0.02+P372*0.05,1))</f>
        <v/>
      </c>
      <c r="S372" s="46">
        <f>IF(A372="","",RANK(R372,$R$2:$R$500,0))</f>
        <v/>
      </c>
    </row>
    <row r="373" ht="22" customHeight="1">
      <c r="A373" s="48" t="n"/>
      <c r="B373" s="51" t="n"/>
      <c r="C373" s="51" t="n"/>
      <c r="D373" s="51" t="n"/>
      <c r="E373" s="51" t="n"/>
      <c r="F373" s="48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>
        <f>IF(A373="","",ROUND(B373/10000*0.25+C373/10000*0.05+D373/10000*0.05+E373/10000*0.05+IF(F373="Yes",10,IF(F373="No",0,5))*0.10+IF(G373="Yes",10,IF(G373="No",0,5))*0.05+H373*0.10+I373*0.10+J373*0.05+K373*0.05+L373*0.05+M373*0.05+N373*0.03+O373*0.02+P373*0.05,1))</f>
        <v/>
      </c>
      <c r="S373" s="48">
        <f>IF(A373="","",RANK(R373,$R$2:$R$500,0))</f>
        <v/>
      </c>
    </row>
    <row r="374" ht="22" customHeight="1">
      <c r="A374" s="46" t="n"/>
      <c r="B374" s="50" t="n"/>
      <c r="C374" s="50" t="n"/>
      <c r="D374" s="50" t="n"/>
      <c r="E374" s="50" t="n"/>
      <c r="F374" s="46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>
        <f>IF(A374="","",ROUND(B374/10000*0.25+C374/10000*0.05+D374/10000*0.05+E374/10000*0.05+IF(F374="Yes",10,IF(F374="No",0,5))*0.10+IF(G374="Yes",10,IF(G374="No",0,5))*0.05+H374*0.10+I374*0.10+J374*0.05+K374*0.05+L374*0.05+M374*0.05+N374*0.03+O374*0.02+P374*0.05,1))</f>
        <v/>
      </c>
      <c r="S374" s="46">
        <f>IF(A374="","",RANK(R374,$R$2:$R$500,0))</f>
        <v/>
      </c>
    </row>
    <row r="375" ht="22" customHeight="1">
      <c r="A375" s="48" t="n"/>
      <c r="B375" s="51" t="n"/>
      <c r="C375" s="51" t="n"/>
      <c r="D375" s="51" t="n"/>
      <c r="E375" s="51" t="n"/>
      <c r="F375" s="48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>
        <f>IF(A375="","",ROUND(B375/10000*0.25+C375/10000*0.05+D375/10000*0.05+E375/10000*0.05+IF(F375="Yes",10,IF(F375="No",0,5))*0.10+IF(G375="Yes",10,IF(G375="No",0,5))*0.05+H375*0.10+I375*0.10+J375*0.05+K375*0.05+L375*0.05+M375*0.05+N375*0.03+O375*0.02+P375*0.05,1))</f>
        <v/>
      </c>
      <c r="S375" s="48">
        <f>IF(A375="","",RANK(R375,$R$2:$R$500,0))</f>
        <v/>
      </c>
    </row>
    <row r="376" ht="22" customHeight="1">
      <c r="A376" s="46" t="n"/>
      <c r="B376" s="50" t="n"/>
      <c r="C376" s="50" t="n"/>
      <c r="D376" s="50" t="n"/>
      <c r="E376" s="50" t="n"/>
      <c r="F376" s="46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>
        <f>IF(A376="","",ROUND(B376/10000*0.25+C376/10000*0.05+D376/10000*0.05+E376/10000*0.05+IF(F376="Yes",10,IF(F376="No",0,5))*0.10+IF(G376="Yes",10,IF(G376="No",0,5))*0.05+H376*0.10+I376*0.10+J376*0.05+K376*0.05+L376*0.05+M376*0.05+N376*0.03+O376*0.02+P376*0.05,1))</f>
        <v/>
      </c>
      <c r="S376" s="46">
        <f>IF(A376="","",RANK(R376,$R$2:$R$500,0))</f>
        <v/>
      </c>
    </row>
    <row r="377" ht="22" customHeight="1">
      <c r="A377" s="48" t="n"/>
      <c r="B377" s="51" t="n"/>
      <c r="C377" s="51" t="n"/>
      <c r="D377" s="51" t="n"/>
      <c r="E377" s="51" t="n"/>
      <c r="F377" s="48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>
        <f>IF(A377="","",ROUND(B377/10000*0.25+C377/10000*0.05+D377/10000*0.05+E377/10000*0.05+IF(F377="Yes",10,IF(F377="No",0,5))*0.10+IF(G377="Yes",10,IF(G377="No",0,5))*0.05+H377*0.10+I377*0.10+J377*0.05+K377*0.05+L377*0.05+M377*0.05+N377*0.03+O377*0.02+P377*0.05,1))</f>
        <v/>
      </c>
      <c r="S377" s="48">
        <f>IF(A377="","",RANK(R377,$R$2:$R$500,0))</f>
        <v/>
      </c>
    </row>
    <row r="378" ht="22" customHeight="1">
      <c r="A378" s="46" t="n"/>
      <c r="B378" s="50" t="n"/>
      <c r="C378" s="50" t="n"/>
      <c r="D378" s="50" t="n"/>
      <c r="E378" s="50" t="n"/>
      <c r="F378" s="46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>
        <f>IF(A378="","",ROUND(B378/10000*0.25+C378/10000*0.05+D378/10000*0.05+E378/10000*0.05+IF(F378="Yes",10,IF(F378="No",0,5))*0.10+IF(G378="Yes",10,IF(G378="No",0,5))*0.05+H378*0.10+I378*0.10+J378*0.05+K378*0.05+L378*0.05+M378*0.05+N378*0.03+O378*0.02+P378*0.05,1))</f>
        <v/>
      </c>
      <c r="S378" s="46">
        <f>IF(A378="","",RANK(R378,$R$2:$R$500,0))</f>
        <v/>
      </c>
    </row>
    <row r="379" ht="22" customHeight="1">
      <c r="A379" s="48" t="n"/>
      <c r="B379" s="51" t="n"/>
      <c r="C379" s="51" t="n"/>
      <c r="D379" s="51" t="n"/>
      <c r="E379" s="51" t="n"/>
      <c r="F379" s="48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>
        <f>IF(A379="","",ROUND(B379/10000*0.25+C379/10000*0.05+D379/10000*0.05+E379/10000*0.05+IF(F379="Yes",10,IF(F379="No",0,5))*0.10+IF(G379="Yes",10,IF(G379="No",0,5))*0.05+H379*0.10+I379*0.10+J379*0.05+K379*0.05+L379*0.05+M379*0.05+N379*0.03+O379*0.02+P379*0.05,1))</f>
        <v/>
      </c>
      <c r="S379" s="48">
        <f>IF(A379="","",RANK(R379,$R$2:$R$500,0))</f>
        <v/>
      </c>
    </row>
    <row r="380" ht="22" customHeight="1">
      <c r="A380" s="46" t="n"/>
      <c r="B380" s="50" t="n"/>
      <c r="C380" s="50" t="n"/>
      <c r="D380" s="50" t="n"/>
      <c r="E380" s="50" t="n"/>
      <c r="F380" s="46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>
        <f>IF(A380="","",ROUND(B380/10000*0.25+C380/10000*0.05+D380/10000*0.05+E380/10000*0.05+IF(F380="Yes",10,IF(F380="No",0,5))*0.10+IF(G380="Yes",10,IF(G380="No",0,5))*0.05+H380*0.10+I380*0.10+J380*0.05+K380*0.05+L380*0.05+M380*0.05+N380*0.03+O380*0.02+P380*0.05,1))</f>
        <v/>
      </c>
      <c r="S380" s="46">
        <f>IF(A380="","",RANK(R380,$R$2:$R$500,0))</f>
        <v/>
      </c>
    </row>
    <row r="381" ht="22" customHeight="1">
      <c r="A381" s="48" t="n"/>
      <c r="B381" s="51" t="n"/>
      <c r="C381" s="51" t="n"/>
      <c r="D381" s="51" t="n"/>
      <c r="E381" s="51" t="n"/>
      <c r="F381" s="48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>
        <f>IF(A381="","",ROUND(B381/10000*0.25+C381/10000*0.05+D381/10000*0.05+E381/10000*0.05+IF(F381="Yes",10,IF(F381="No",0,5))*0.10+IF(G381="Yes",10,IF(G381="No",0,5))*0.05+H381*0.10+I381*0.10+J381*0.05+K381*0.05+L381*0.05+M381*0.05+N381*0.03+O381*0.02+P381*0.05,1))</f>
        <v/>
      </c>
      <c r="S381" s="48">
        <f>IF(A381="","",RANK(R381,$R$2:$R$500,0))</f>
        <v/>
      </c>
    </row>
    <row r="382" ht="22" customHeight="1">
      <c r="A382" s="46" t="n"/>
      <c r="B382" s="50" t="n"/>
      <c r="C382" s="50" t="n"/>
      <c r="D382" s="50" t="n"/>
      <c r="E382" s="50" t="n"/>
      <c r="F382" s="46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>
        <f>IF(A382="","",ROUND(B382/10000*0.25+C382/10000*0.05+D382/10000*0.05+E382/10000*0.05+IF(F382="Yes",10,IF(F382="No",0,5))*0.10+IF(G382="Yes",10,IF(G382="No",0,5))*0.05+H382*0.10+I382*0.10+J382*0.05+K382*0.05+L382*0.05+M382*0.05+N382*0.03+O382*0.02+P382*0.05,1))</f>
        <v/>
      </c>
      <c r="S382" s="46">
        <f>IF(A382="","",RANK(R382,$R$2:$R$500,0))</f>
        <v/>
      </c>
    </row>
    <row r="383" ht="22" customHeight="1">
      <c r="A383" s="48" t="n"/>
      <c r="B383" s="51" t="n"/>
      <c r="C383" s="51" t="n"/>
      <c r="D383" s="51" t="n"/>
      <c r="E383" s="51" t="n"/>
      <c r="F383" s="48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>
        <f>IF(A383="","",ROUND(B383/10000*0.25+C383/10000*0.05+D383/10000*0.05+E383/10000*0.05+IF(F383="Yes",10,IF(F383="No",0,5))*0.10+IF(G383="Yes",10,IF(G383="No",0,5))*0.05+H383*0.10+I383*0.10+J383*0.05+K383*0.05+L383*0.05+M383*0.05+N383*0.03+O383*0.02+P383*0.05,1))</f>
        <v/>
      </c>
      <c r="S383" s="48">
        <f>IF(A383="","",RANK(R383,$R$2:$R$500,0))</f>
        <v/>
      </c>
    </row>
    <row r="384" ht="22" customHeight="1">
      <c r="A384" s="46" t="n"/>
      <c r="B384" s="50" t="n"/>
      <c r="C384" s="50" t="n"/>
      <c r="D384" s="50" t="n"/>
      <c r="E384" s="50" t="n"/>
      <c r="F384" s="46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>
        <f>IF(A384="","",ROUND(B384/10000*0.25+C384/10000*0.05+D384/10000*0.05+E384/10000*0.05+IF(F384="Yes",10,IF(F384="No",0,5))*0.10+IF(G384="Yes",10,IF(G384="No",0,5))*0.05+H384*0.10+I384*0.10+J384*0.05+K384*0.05+L384*0.05+M384*0.05+N384*0.03+O384*0.02+P384*0.05,1))</f>
        <v/>
      </c>
      <c r="S384" s="46">
        <f>IF(A384="","",RANK(R384,$R$2:$R$500,0))</f>
        <v/>
      </c>
    </row>
    <row r="385" ht="22" customHeight="1">
      <c r="A385" s="48" t="n"/>
      <c r="B385" s="51" t="n"/>
      <c r="C385" s="51" t="n"/>
      <c r="D385" s="51" t="n"/>
      <c r="E385" s="51" t="n"/>
      <c r="F385" s="48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>
        <f>IF(A385="","",ROUND(B385/10000*0.25+C385/10000*0.05+D385/10000*0.05+E385/10000*0.05+IF(F385="Yes",10,IF(F385="No",0,5))*0.10+IF(G385="Yes",10,IF(G385="No",0,5))*0.05+H385*0.10+I385*0.10+J385*0.05+K385*0.05+L385*0.05+M385*0.05+N385*0.03+O385*0.02+P385*0.05,1))</f>
        <v/>
      </c>
      <c r="S385" s="48">
        <f>IF(A385="","",RANK(R385,$R$2:$R$500,0))</f>
        <v/>
      </c>
    </row>
    <row r="386" ht="22" customHeight="1">
      <c r="A386" s="46" t="n"/>
      <c r="B386" s="50" t="n"/>
      <c r="C386" s="50" t="n"/>
      <c r="D386" s="50" t="n"/>
      <c r="E386" s="50" t="n"/>
      <c r="F386" s="46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>
        <f>IF(A386="","",ROUND(B386/10000*0.25+C386/10000*0.05+D386/10000*0.05+E386/10000*0.05+IF(F386="Yes",10,IF(F386="No",0,5))*0.10+IF(G386="Yes",10,IF(G386="No",0,5))*0.05+H386*0.10+I386*0.10+J386*0.05+K386*0.05+L386*0.05+M386*0.05+N386*0.03+O386*0.02+P386*0.05,1))</f>
        <v/>
      </c>
      <c r="S386" s="46">
        <f>IF(A386="","",RANK(R386,$R$2:$R$500,0))</f>
        <v/>
      </c>
    </row>
    <row r="387" ht="22" customHeight="1">
      <c r="A387" s="48" t="n"/>
      <c r="B387" s="51" t="n"/>
      <c r="C387" s="51" t="n"/>
      <c r="D387" s="51" t="n"/>
      <c r="E387" s="51" t="n"/>
      <c r="F387" s="48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>
        <f>IF(A387="","",ROUND(B387/10000*0.25+C387/10000*0.05+D387/10000*0.05+E387/10000*0.05+IF(F387="Yes",10,IF(F387="No",0,5))*0.10+IF(G387="Yes",10,IF(G387="No",0,5))*0.05+H387*0.10+I387*0.10+J387*0.05+K387*0.05+L387*0.05+M387*0.05+N387*0.03+O387*0.02+P387*0.05,1))</f>
        <v/>
      </c>
      <c r="S387" s="48">
        <f>IF(A387="","",RANK(R387,$R$2:$R$500,0))</f>
        <v/>
      </c>
    </row>
    <row r="388" ht="22" customHeight="1">
      <c r="A388" s="46" t="n"/>
      <c r="B388" s="50" t="n"/>
      <c r="C388" s="50" t="n"/>
      <c r="D388" s="50" t="n"/>
      <c r="E388" s="50" t="n"/>
      <c r="F388" s="46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>
        <f>IF(A388="","",ROUND(B388/10000*0.25+C388/10000*0.05+D388/10000*0.05+E388/10000*0.05+IF(F388="Yes",10,IF(F388="No",0,5))*0.10+IF(G388="Yes",10,IF(G388="No",0,5))*0.05+H388*0.10+I388*0.10+J388*0.05+K388*0.05+L388*0.05+M388*0.05+N388*0.03+O388*0.02+P388*0.05,1))</f>
        <v/>
      </c>
      <c r="S388" s="46">
        <f>IF(A388="","",RANK(R388,$R$2:$R$500,0))</f>
        <v/>
      </c>
    </row>
    <row r="389" ht="22" customHeight="1">
      <c r="A389" s="48" t="n"/>
      <c r="B389" s="51" t="n"/>
      <c r="C389" s="51" t="n"/>
      <c r="D389" s="51" t="n"/>
      <c r="E389" s="51" t="n"/>
      <c r="F389" s="48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>
        <f>IF(A389="","",ROUND(B389/10000*0.25+C389/10000*0.05+D389/10000*0.05+E389/10000*0.05+IF(F389="Yes",10,IF(F389="No",0,5))*0.10+IF(G389="Yes",10,IF(G389="No",0,5))*0.05+H389*0.10+I389*0.10+J389*0.05+K389*0.05+L389*0.05+M389*0.05+N389*0.03+O389*0.02+P389*0.05,1))</f>
        <v/>
      </c>
      <c r="S389" s="48">
        <f>IF(A389="","",RANK(R389,$R$2:$R$500,0))</f>
        <v/>
      </c>
    </row>
    <row r="390" ht="22" customHeight="1">
      <c r="A390" s="46" t="n"/>
      <c r="B390" s="50" t="n"/>
      <c r="C390" s="50" t="n"/>
      <c r="D390" s="50" t="n"/>
      <c r="E390" s="50" t="n"/>
      <c r="F390" s="46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>
        <f>IF(A390="","",ROUND(B390/10000*0.25+C390/10000*0.05+D390/10000*0.05+E390/10000*0.05+IF(F390="Yes",10,IF(F390="No",0,5))*0.10+IF(G390="Yes",10,IF(G390="No",0,5))*0.05+H390*0.10+I390*0.10+J390*0.05+K390*0.05+L390*0.05+M390*0.05+N390*0.03+O390*0.02+P390*0.05,1))</f>
        <v/>
      </c>
      <c r="S390" s="46">
        <f>IF(A390="","",RANK(R390,$R$2:$R$500,0))</f>
        <v/>
      </c>
    </row>
    <row r="391" ht="22" customHeight="1">
      <c r="A391" s="48" t="n"/>
      <c r="B391" s="51" t="n"/>
      <c r="C391" s="51" t="n"/>
      <c r="D391" s="51" t="n"/>
      <c r="E391" s="51" t="n"/>
      <c r="F391" s="48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>
        <f>IF(A391="","",ROUND(B391/10000*0.25+C391/10000*0.05+D391/10000*0.05+E391/10000*0.05+IF(F391="Yes",10,IF(F391="No",0,5))*0.10+IF(G391="Yes",10,IF(G391="No",0,5))*0.05+H391*0.10+I391*0.10+J391*0.05+K391*0.05+L391*0.05+M391*0.05+N391*0.03+O391*0.02+P391*0.05,1))</f>
        <v/>
      </c>
      <c r="S391" s="48">
        <f>IF(A391="","",RANK(R391,$R$2:$R$500,0))</f>
        <v/>
      </c>
    </row>
    <row r="392" ht="22" customHeight="1">
      <c r="A392" s="46" t="n"/>
      <c r="B392" s="50" t="n"/>
      <c r="C392" s="50" t="n"/>
      <c r="D392" s="50" t="n"/>
      <c r="E392" s="50" t="n"/>
      <c r="F392" s="46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>
        <f>IF(A392="","",ROUND(B392/10000*0.25+C392/10000*0.05+D392/10000*0.05+E392/10000*0.05+IF(F392="Yes",10,IF(F392="No",0,5))*0.10+IF(G392="Yes",10,IF(G392="No",0,5))*0.05+H392*0.10+I392*0.10+J392*0.05+K392*0.05+L392*0.05+M392*0.05+N392*0.03+O392*0.02+P392*0.05,1))</f>
        <v/>
      </c>
      <c r="S392" s="46">
        <f>IF(A392="","",RANK(R392,$R$2:$R$500,0))</f>
        <v/>
      </c>
    </row>
    <row r="393" ht="22" customHeight="1">
      <c r="A393" s="48" t="n"/>
      <c r="B393" s="51" t="n"/>
      <c r="C393" s="51" t="n"/>
      <c r="D393" s="51" t="n"/>
      <c r="E393" s="51" t="n"/>
      <c r="F393" s="48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>
        <f>IF(A393="","",ROUND(B393/10000*0.25+C393/10000*0.05+D393/10000*0.05+E393/10000*0.05+IF(F393="Yes",10,IF(F393="No",0,5))*0.10+IF(G393="Yes",10,IF(G393="No",0,5))*0.05+H393*0.10+I393*0.10+J393*0.05+K393*0.05+L393*0.05+M393*0.05+N393*0.03+O393*0.02+P393*0.05,1))</f>
        <v/>
      </c>
      <c r="S393" s="48">
        <f>IF(A393="","",RANK(R393,$R$2:$R$500,0))</f>
        <v/>
      </c>
    </row>
    <row r="394" ht="22" customHeight="1">
      <c r="A394" s="46" t="n"/>
      <c r="B394" s="50" t="n"/>
      <c r="C394" s="50" t="n"/>
      <c r="D394" s="50" t="n"/>
      <c r="E394" s="50" t="n"/>
      <c r="F394" s="46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>
        <f>IF(A394="","",ROUND(B394/10000*0.25+C394/10000*0.05+D394/10000*0.05+E394/10000*0.05+IF(F394="Yes",10,IF(F394="No",0,5))*0.10+IF(G394="Yes",10,IF(G394="No",0,5))*0.05+H394*0.10+I394*0.10+J394*0.05+K394*0.05+L394*0.05+M394*0.05+N394*0.03+O394*0.02+P394*0.05,1))</f>
        <v/>
      </c>
      <c r="S394" s="46">
        <f>IF(A394="","",RANK(R394,$R$2:$R$500,0))</f>
        <v/>
      </c>
    </row>
    <row r="395" ht="22" customHeight="1">
      <c r="A395" s="48" t="n"/>
      <c r="B395" s="51" t="n"/>
      <c r="C395" s="51" t="n"/>
      <c r="D395" s="51" t="n"/>
      <c r="E395" s="51" t="n"/>
      <c r="F395" s="48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>
        <f>IF(A395="","",ROUND(B395/10000*0.25+C395/10000*0.05+D395/10000*0.05+E395/10000*0.05+IF(F395="Yes",10,IF(F395="No",0,5))*0.10+IF(G395="Yes",10,IF(G395="No",0,5))*0.05+H395*0.10+I395*0.10+J395*0.05+K395*0.05+L395*0.05+M395*0.05+N395*0.03+O395*0.02+P395*0.05,1))</f>
        <v/>
      </c>
      <c r="S395" s="48">
        <f>IF(A395="","",RANK(R395,$R$2:$R$500,0))</f>
        <v/>
      </c>
    </row>
    <row r="396" ht="22" customHeight="1">
      <c r="A396" s="46" t="n"/>
      <c r="B396" s="50" t="n"/>
      <c r="C396" s="50" t="n"/>
      <c r="D396" s="50" t="n"/>
      <c r="E396" s="50" t="n"/>
      <c r="F396" s="46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>
        <f>IF(A396="","",ROUND(B396/10000*0.25+C396/10000*0.05+D396/10000*0.05+E396/10000*0.05+IF(F396="Yes",10,IF(F396="No",0,5))*0.10+IF(G396="Yes",10,IF(G396="No",0,5))*0.05+H396*0.10+I396*0.10+J396*0.05+K396*0.05+L396*0.05+M396*0.05+N396*0.03+O396*0.02+P396*0.05,1))</f>
        <v/>
      </c>
      <c r="S396" s="46">
        <f>IF(A396="","",RANK(R396,$R$2:$R$500,0))</f>
        <v/>
      </c>
    </row>
    <row r="397" ht="22" customHeight="1">
      <c r="A397" s="48" t="n"/>
      <c r="B397" s="51" t="n"/>
      <c r="C397" s="51" t="n"/>
      <c r="D397" s="51" t="n"/>
      <c r="E397" s="51" t="n"/>
      <c r="F397" s="48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>
        <f>IF(A397="","",ROUND(B397/10000*0.25+C397/10000*0.05+D397/10000*0.05+E397/10000*0.05+IF(F397="Yes",10,IF(F397="No",0,5))*0.10+IF(G397="Yes",10,IF(G397="No",0,5))*0.05+H397*0.10+I397*0.10+J397*0.05+K397*0.05+L397*0.05+M397*0.05+N397*0.03+O397*0.02+P397*0.05,1))</f>
        <v/>
      </c>
      <c r="S397" s="48">
        <f>IF(A397="","",RANK(R397,$R$2:$R$500,0))</f>
        <v/>
      </c>
    </row>
    <row r="398" ht="22" customHeight="1">
      <c r="A398" s="46" t="n"/>
      <c r="B398" s="50" t="n"/>
      <c r="C398" s="50" t="n"/>
      <c r="D398" s="50" t="n"/>
      <c r="E398" s="50" t="n"/>
      <c r="F398" s="46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>
        <f>IF(A398="","",ROUND(B398/10000*0.25+C398/10000*0.05+D398/10000*0.05+E398/10000*0.05+IF(F398="Yes",10,IF(F398="No",0,5))*0.10+IF(G398="Yes",10,IF(G398="No",0,5))*0.05+H398*0.10+I398*0.10+J398*0.05+K398*0.05+L398*0.05+M398*0.05+N398*0.03+O398*0.02+P398*0.05,1))</f>
        <v/>
      </c>
      <c r="S398" s="46">
        <f>IF(A398="","",RANK(R398,$R$2:$R$500,0))</f>
        <v/>
      </c>
    </row>
    <row r="399" ht="22" customHeight="1">
      <c r="A399" s="48" t="n"/>
      <c r="B399" s="51" t="n"/>
      <c r="C399" s="51" t="n"/>
      <c r="D399" s="51" t="n"/>
      <c r="E399" s="51" t="n"/>
      <c r="F399" s="48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>
        <f>IF(A399="","",ROUND(B399/10000*0.25+C399/10000*0.05+D399/10000*0.05+E399/10000*0.05+IF(F399="Yes",10,IF(F399="No",0,5))*0.10+IF(G399="Yes",10,IF(G399="No",0,5))*0.05+H399*0.10+I399*0.10+J399*0.05+K399*0.05+L399*0.05+M399*0.05+N399*0.03+O399*0.02+P399*0.05,1))</f>
        <v/>
      </c>
      <c r="S399" s="48">
        <f>IF(A399="","",RANK(R399,$R$2:$R$500,0))</f>
        <v/>
      </c>
    </row>
    <row r="400" ht="22" customHeight="1">
      <c r="A400" s="46" t="n"/>
      <c r="B400" s="50" t="n"/>
      <c r="C400" s="50" t="n"/>
      <c r="D400" s="50" t="n"/>
      <c r="E400" s="50" t="n"/>
      <c r="F400" s="46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>
        <f>IF(A400="","",ROUND(B400/10000*0.25+C400/10000*0.05+D400/10000*0.05+E400/10000*0.05+IF(F400="Yes",10,IF(F400="No",0,5))*0.10+IF(G400="Yes",10,IF(G400="No",0,5))*0.05+H400*0.10+I400*0.10+J400*0.05+K400*0.05+L400*0.05+M400*0.05+N400*0.03+O400*0.02+P400*0.05,1))</f>
        <v/>
      </c>
      <c r="S400" s="46">
        <f>IF(A400="","",RANK(R400,$R$2:$R$500,0))</f>
        <v/>
      </c>
    </row>
    <row r="401" ht="22" customHeight="1">
      <c r="A401" s="48" t="n"/>
      <c r="B401" s="51" t="n"/>
      <c r="C401" s="51" t="n"/>
      <c r="D401" s="51" t="n"/>
      <c r="E401" s="51" t="n"/>
      <c r="F401" s="48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>
        <f>IF(A401="","",ROUND(B401/10000*0.25+C401/10000*0.05+D401/10000*0.05+E401/10000*0.05+IF(F401="Yes",10,IF(F401="No",0,5))*0.10+IF(G401="Yes",10,IF(G401="No",0,5))*0.05+H401*0.10+I401*0.10+J401*0.05+K401*0.05+L401*0.05+M401*0.05+N401*0.03+O401*0.02+P401*0.05,1))</f>
        <v/>
      </c>
      <c r="S401" s="48">
        <f>IF(A401="","",RANK(R401,$R$2:$R$500,0))</f>
        <v/>
      </c>
    </row>
    <row r="402" ht="22" customHeight="1">
      <c r="A402" s="46" t="n"/>
      <c r="B402" s="50" t="n"/>
      <c r="C402" s="50" t="n"/>
      <c r="D402" s="50" t="n"/>
      <c r="E402" s="50" t="n"/>
      <c r="F402" s="46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>
        <f>IF(A402="","",ROUND(B402/10000*0.25+C402/10000*0.05+D402/10000*0.05+E402/10000*0.05+IF(F402="Yes",10,IF(F402="No",0,5))*0.10+IF(G402="Yes",10,IF(G402="No",0,5))*0.05+H402*0.10+I402*0.10+J402*0.05+K402*0.05+L402*0.05+M402*0.05+N402*0.03+O402*0.02+P402*0.05,1))</f>
        <v/>
      </c>
      <c r="S402" s="46">
        <f>IF(A402="","",RANK(R402,$R$2:$R$500,0))</f>
        <v/>
      </c>
    </row>
    <row r="403" ht="22" customHeight="1">
      <c r="A403" s="48" t="n"/>
      <c r="B403" s="51" t="n"/>
      <c r="C403" s="51" t="n"/>
      <c r="D403" s="51" t="n"/>
      <c r="E403" s="51" t="n"/>
      <c r="F403" s="48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>
        <f>IF(A403="","",ROUND(B403/10000*0.25+C403/10000*0.05+D403/10000*0.05+E403/10000*0.05+IF(F403="Yes",10,IF(F403="No",0,5))*0.10+IF(G403="Yes",10,IF(G403="No",0,5))*0.05+H403*0.10+I403*0.10+J403*0.05+K403*0.05+L403*0.05+M403*0.05+N403*0.03+O403*0.02+P403*0.05,1))</f>
        <v/>
      </c>
      <c r="S403" s="48">
        <f>IF(A403="","",RANK(R403,$R$2:$R$500,0))</f>
        <v/>
      </c>
    </row>
    <row r="404" ht="22" customHeight="1">
      <c r="A404" s="46" t="n"/>
      <c r="B404" s="50" t="n"/>
      <c r="C404" s="50" t="n"/>
      <c r="D404" s="50" t="n"/>
      <c r="E404" s="50" t="n"/>
      <c r="F404" s="46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>
        <f>IF(A404="","",ROUND(B404/10000*0.25+C404/10000*0.05+D404/10000*0.05+E404/10000*0.05+IF(F404="Yes",10,IF(F404="No",0,5))*0.10+IF(G404="Yes",10,IF(G404="No",0,5))*0.05+H404*0.10+I404*0.10+J404*0.05+K404*0.05+L404*0.05+M404*0.05+N404*0.03+O404*0.02+P404*0.05,1))</f>
        <v/>
      </c>
      <c r="S404" s="46">
        <f>IF(A404="","",RANK(R404,$R$2:$R$500,0))</f>
        <v/>
      </c>
    </row>
    <row r="405" ht="22" customHeight="1">
      <c r="A405" s="48" t="n"/>
      <c r="B405" s="51" t="n"/>
      <c r="C405" s="51" t="n"/>
      <c r="D405" s="51" t="n"/>
      <c r="E405" s="51" t="n"/>
      <c r="F405" s="48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>
        <f>IF(A405="","",ROUND(B405/10000*0.25+C405/10000*0.05+D405/10000*0.05+E405/10000*0.05+IF(F405="Yes",10,IF(F405="No",0,5))*0.10+IF(G405="Yes",10,IF(G405="No",0,5))*0.05+H405*0.10+I405*0.10+J405*0.05+K405*0.05+L405*0.05+M405*0.05+N405*0.03+O405*0.02+P405*0.05,1))</f>
        <v/>
      </c>
      <c r="S405" s="48">
        <f>IF(A405="","",RANK(R405,$R$2:$R$500,0))</f>
        <v/>
      </c>
    </row>
    <row r="406" ht="22" customHeight="1">
      <c r="A406" s="46" t="n"/>
      <c r="B406" s="50" t="n"/>
      <c r="C406" s="50" t="n"/>
      <c r="D406" s="50" t="n"/>
      <c r="E406" s="50" t="n"/>
      <c r="F406" s="46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>
        <f>IF(A406="","",ROUND(B406/10000*0.25+C406/10000*0.05+D406/10000*0.05+E406/10000*0.05+IF(F406="Yes",10,IF(F406="No",0,5))*0.10+IF(G406="Yes",10,IF(G406="No",0,5))*0.05+H406*0.10+I406*0.10+J406*0.05+K406*0.05+L406*0.05+M406*0.05+N406*0.03+O406*0.02+P406*0.05,1))</f>
        <v/>
      </c>
      <c r="S406" s="46">
        <f>IF(A406="","",RANK(R406,$R$2:$R$500,0))</f>
        <v/>
      </c>
    </row>
    <row r="407" ht="22" customHeight="1">
      <c r="A407" s="48" t="n"/>
      <c r="B407" s="51" t="n"/>
      <c r="C407" s="51" t="n"/>
      <c r="D407" s="51" t="n"/>
      <c r="E407" s="51" t="n"/>
      <c r="F407" s="48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>
        <f>IF(A407="","",ROUND(B407/10000*0.25+C407/10000*0.05+D407/10000*0.05+E407/10000*0.05+IF(F407="Yes",10,IF(F407="No",0,5))*0.10+IF(G407="Yes",10,IF(G407="No",0,5))*0.05+H407*0.10+I407*0.10+J407*0.05+K407*0.05+L407*0.05+M407*0.05+N407*0.03+O407*0.02+P407*0.05,1))</f>
        <v/>
      </c>
      <c r="S407" s="48">
        <f>IF(A407="","",RANK(R407,$R$2:$R$500,0))</f>
        <v/>
      </c>
    </row>
    <row r="408" ht="22" customHeight="1">
      <c r="A408" s="46" t="n"/>
      <c r="B408" s="50" t="n"/>
      <c r="C408" s="50" t="n"/>
      <c r="D408" s="50" t="n"/>
      <c r="E408" s="50" t="n"/>
      <c r="F408" s="46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>
        <f>IF(A408="","",ROUND(B408/10000*0.25+C408/10000*0.05+D408/10000*0.05+E408/10000*0.05+IF(F408="Yes",10,IF(F408="No",0,5))*0.10+IF(G408="Yes",10,IF(G408="No",0,5))*0.05+H408*0.10+I408*0.10+J408*0.05+K408*0.05+L408*0.05+M408*0.05+N408*0.03+O408*0.02+P408*0.05,1))</f>
        <v/>
      </c>
      <c r="S408" s="46">
        <f>IF(A408="","",RANK(R408,$R$2:$R$500,0))</f>
        <v/>
      </c>
    </row>
    <row r="409" ht="22" customHeight="1">
      <c r="A409" s="48" t="n"/>
      <c r="B409" s="51" t="n"/>
      <c r="C409" s="51" t="n"/>
      <c r="D409" s="51" t="n"/>
      <c r="E409" s="51" t="n"/>
      <c r="F409" s="48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>
        <f>IF(A409="","",ROUND(B409/10000*0.25+C409/10000*0.05+D409/10000*0.05+E409/10000*0.05+IF(F409="Yes",10,IF(F409="No",0,5))*0.10+IF(G409="Yes",10,IF(G409="No",0,5))*0.05+H409*0.10+I409*0.10+J409*0.05+K409*0.05+L409*0.05+M409*0.05+N409*0.03+O409*0.02+P409*0.05,1))</f>
        <v/>
      </c>
      <c r="S409" s="48">
        <f>IF(A409="","",RANK(R409,$R$2:$R$500,0))</f>
        <v/>
      </c>
    </row>
    <row r="410" ht="22" customHeight="1">
      <c r="A410" s="46" t="n"/>
      <c r="B410" s="50" t="n"/>
      <c r="C410" s="50" t="n"/>
      <c r="D410" s="50" t="n"/>
      <c r="E410" s="50" t="n"/>
      <c r="F410" s="46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>
        <f>IF(A410="","",ROUND(B410/10000*0.25+C410/10000*0.05+D410/10000*0.05+E410/10000*0.05+IF(F410="Yes",10,IF(F410="No",0,5))*0.10+IF(G410="Yes",10,IF(G410="No",0,5))*0.05+H410*0.10+I410*0.10+J410*0.05+K410*0.05+L410*0.05+M410*0.05+N410*0.03+O410*0.02+P410*0.05,1))</f>
        <v/>
      </c>
      <c r="S410" s="46">
        <f>IF(A410="","",RANK(R410,$R$2:$R$500,0))</f>
        <v/>
      </c>
    </row>
    <row r="411" ht="22" customHeight="1">
      <c r="A411" s="48" t="n"/>
      <c r="B411" s="51" t="n"/>
      <c r="C411" s="51" t="n"/>
      <c r="D411" s="51" t="n"/>
      <c r="E411" s="51" t="n"/>
      <c r="F411" s="48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>
        <f>IF(A411="","",ROUND(B411/10000*0.25+C411/10000*0.05+D411/10000*0.05+E411/10000*0.05+IF(F411="Yes",10,IF(F411="No",0,5))*0.10+IF(G411="Yes",10,IF(G411="No",0,5))*0.05+H411*0.10+I411*0.10+J411*0.05+K411*0.05+L411*0.05+M411*0.05+N411*0.03+O411*0.02+P411*0.05,1))</f>
        <v/>
      </c>
      <c r="S411" s="48">
        <f>IF(A411="","",RANK(R411,$R$2:$R$500,0))</f>
        <v/>
      </c>
    </row>
    <row r="412" ht="22" customHeight="1">
      <c r="A412" s="46" t="n"/>
      <c r="B412" s="50" t="n"/>
      <c r="C412" s="50" t="n"/>
      <c r="D412" s="50" t="n"/>
      <c r="E412" s="50" t="n"/>
      <c r="F412" s="46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>
        <f>IF(A412="","",ROUND(B412/10000*0.25+C412/10000*0.05+D412/10000*0.05+E412/10000*0.05+IF(F412="Yes",10,IF(F412="No",0,5))*0.10+IF(G412="Yes",10,IF(G412="No",0,5))*0.05+H412*0.10+I412*0.10+J412*0.05+K412*0.05+L412*0.05+M412*0.05+N412*0.03+O412*0.02+P412*0.05,1))</f>
        <v/>
      </c>
      <c r="S412" s="46">
        <f>IF(A412="","",RANK(R412,$R$2:$R$500,0))</f>
        <v/>
      </c>
    </row>
    <row r="413" ht="22" customHeight="1">
      <c r="A413" s="48" t="n"/>
      <c r="B413" s="51" t="n"/>
      <c r="C413" s="51" t="n"/>
      <c r="D413" s="51" t="n"/>
      <c r="E413" s="51" t="n"/>
      <c r="F413" s="48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>
        <f>IF(A413="","",ROUND(B413/10000*0.25+C413/10000*0.05+D413/10000*0.05+E413/10000*0.05+IF(F413="Yes",10,IF(F413="No",0,5))*0.10+IF(G413="Yes",10,IF(G413="No",0,5))*0.05+H413*0.10+I413*0.10+J413*0.05+K413*0.05+L413*0.05+M413*0.05+N413*0.03+O413*0.02+P413*0.05,1))</f>
        <v/>
      </c>
      <c r="S413" s="48">
        <f>IF(A413="","",RANK(R413,$R$2:$R$500,0))</f>
        <v/>
      </c>
    </row>
    <row r="414" ht="22" customHeight="1">
      <c r="A414" s="46" t="n"/>
      <c r="B414" s="50" t="n"/>
      <c r="C414" s="50" t="n"/>
      <c r="D414" s="50" t="n"/>
      <c r="E414" s="50" t="n"/>
      <c r="F414" s="46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>
        <f>IF(A414="","",ROUND(B414/10000*0.25+C414/10000*0.05+D414/10000*0.05+E414/10000*0.05+IF(F414="Yes",10,IF(F414="No",0,5))*0.10+IF(G414="Yes",10,IF(G414="No",0,5))*0.05+H414*0.10+I414*0.10+J414*0.05+K414*0.05+L414*0.05+M414*0.05+N414*0.03+O414*0.02+P414*0.05,1))</f>
        <v/>
      </c>
      <c r="S414" s="46">
        <f>IF(A414="","",RANK(R414,$R$2:$R$500,0))</f>
        <v/>
      </c>
    </row>
    <row r="415" ht="22" customHeight="1">
      <c r="A415" s="48" t="n"/>
      <c r="B415" s="51" t="n"/>
      <c r="C415" s="51" t="n"/>
      <c r="D415" s="51" t="n"/>
      <c r="E415" s="51" t="n"/>
      <c r="F415" s="48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>
        <f>IF(A415="","",ROUND(B415/10000*0.25+C415/10000*0.05+D415/10000*0.05+E415/10000*0.05+IF(F415="Yes",10,IF(F415="No",0,5))*0.10+IF(G415="Yes",10,IF(G415="No",0,5))*0.05+H415*0.10+I415*0.10+J415*0.05+K415*0.05+L415*0.05+M415*0.05+N415*0.03+O415*0.02+P415*0.05,1))</f>
        <v/>
      </c>
      <c r="S415" s="48">
        <f>IF(A415="","",RANK(R415,$R$2:$R$500,0))</f>
        <v/>
      </c>
    </row>
    <row r="416" ht="22" customHeight="1">
      <c r="A416" s="46" t="n"/>
      <c r="B416" s="50" t="n"/>
      <c r="C416" s="50" t="n"/>
      <c r="D416" s="50" t="n"/>
      <c r="E416" s="50" t="n"/>
      <c r="F416" s="46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>
        <f>IF(A416="","",ROUND(B416/10000*0.25+C416/10000*0.05+D416/10000*0.05+E416/10000*0.05+IF(F416="Yes",10,IF(F416="No",0,5))*0.10+IF(G416="Yes",10,IF(G416="No",0,5))*0.05+H416*0.10+I416*0.10+J416*0.05+K416*0.05+L416*0.05+M416*0.05+N416*0.03+O416*0.02+P416*0.05,1))</f>
        <v/>
      </c>
      <c r="S416" s="46">
        <f>IF(A416="","",RANK(R416,$R$2:$R$500,0))</f>
        <v/>
      </c>
    </row>
    <row r="417" ht="22" customHeight="1">
      <c r="A417" s="48" t="n"/>
      <c r="B417" s="51" t="n"/>
      <c r="C417" s="51" t="n"/>
      <c r="D417" s="51" t="n"/>
      <c r="E417" s="51" t="n"/>
      <c r="F417" s="48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>
        <f>IF(A417="","",ROUND(B417/10000*0.25+C417/10000*0.05+D417/10000*0.05+E417/10000*0.05+IF(F417="Yes",10,IF(F417="No",0,5))*0.10+IF(G417="Yes",10,IF(G417="No",0,5))*0.05+H417*0.10+I417*0.10+J417*0.05+K417*0.05+L417*0.05+M417*0.05+N417*0.03+O417*0.02+P417*0.05,1))</f>
        <v/>
      </c>
      <c r="S417" s="48">
        <f>IF(A417="","",RANK(R417,$R$2:$R$500,0))</f>
        <v/>
      </c>
    </row>
    <row r="418" ht="22" customHeight="1">
      <c r="A418" s="46" t="n"/>
      <c r="B418" s="50" t="n"/>
      <c r="C418" s="50" t="n"/>
      <c r="D418" s="50" t="n"/>
      <c r="E418" s="50" t="n"/>
      <c r="F418" s="46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>
        <f>IF(A418="","",ROUND(B418/10000*0.25+C418/10000*0.05+D418/10000*0.05+E418/10000*0.05+IF(F418="Yes",10,IF(F418="No",0,5))*0.10+IF(G418="Yes",10,IF(G418="No",0,5))*0.05+H418*0.10+I418*0.10+J418*0.05+K418*0.05+L418*0.05+M418*0.05+N418*0.03+O418*0.02+P418*0.05,1))</f>
        <v/>
      </c>
      <c r="S418" s="46">
        <f>IF(A418="","",RANK(R418,$R$2:$R$500,0))</f>
        <v/>
      </c>
    </row>
    <row r="419" ht="22" customHeight="1">
      <c r="A419" s="48" t="n"/>
      <c r="B419" s="51" t="n"/>
      <c r="C419" s="51" t="n"/>
      <c r="D419" s="51" t="n"/>
      <c r="E419" s="51" t="n"/>
      <c r="F419" s="48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>
        <f>IF(A419="","",ROUND(B419/10000*0.25+C419/10000*0.05+D419/10000*0.05+E419/10000*0.05+IF(F419="Yes",10,IF(F419="No",0,5))*0.10+IF(G419="Yes",10,IF(G419="No",0,5))*0.05+H419*0.10+I419*0.10+J419*0.05+K419*0.05+L419*0.05+M419*0.05+N419*0.03+O419*0.02+P419*0.05,1))</f>
        <v/>
      </c>
      <c r="S419" s="48">
        <f>IF(A419="","",RANK(R419,$R$2:$R$500,0))</f>
        <v/>
      </c>
    </row>
    <row r="420" ht="22" customHeight="1">
      <c r="A420" s="46" t="n"/>
      <c r="B420" s="50" t="n"/>
      <c r="C420" s="50" t="n"/>
      <c r="D420" s="50" t="n"/>
      <c r="E420" s="50" t="n"/>
      <c r="F420" s="46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>
        <f>IF(A420="","",ROUND(B420/10000*0.25+C420/10000*0.05+D420/10000*0.05+E420/10000*0.05+IF(F420="Yes",10,IF(F420="No",0,5))*0.10+IF(G420="Yes",10,IF(G420="No",0,5))*0.05+H420*0.10+I420*0.10+J420*0.05+K420*0.05+L420*0.05+M420*0.05+N420*0.03+O420*0.02+P420*0.05,1))</f>
        <v/>
      </c>
      <c r="S420" s="46">
        <f>IF(A420="","",RANK(R420,$R$2:$R$500,0))</f>
        <v/>
      </c>
    </row>
    <row r="421" ht="22" customHeight="1">
      <c r="A421" s="48" t="n"/>
      <c r="B421" s="51" t="n"/>
      <c r="C421" s="51" t="n"/>
      <c r="D421" s="51" t="n"/>
      <c r="E421" s="51" t="n"/>
      <c r="F421" s="48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>
        <f>IF(A421="","",ROUND(B421/10000*0.25+C421/10000*0.05+D421/10000*0.05+E421/10000*0.05+IF(F421="Yes",10,IF(F421="No",0,5))*0.10+IF(G421="Yes",10,IF(G421="No",0,5))*0.05+H421*0.10+I421*0.10+J421*0.05+K421*0.05+L421*0.05+M421*0.05+N421*0.03+O421*0.02+P421*0.05,1))</f>
        <v/>
      </c>
      <c r="S421" s="48">
        <f>IF(A421="","",RANK(R421,$R$2:$R$500,0))</f>
        <v/>
      </c>
    </row>
    <row r="422" ht="22" customHeight="1">
      <c r="A422" s="46" t="n"/>
      <c r="B422" s="50" t="n"/>
      <c r="C422" s="50" t="n"/>
      <c r="D422" s="50" t="n"/>
      <c r="E422" s="50" t="n"/>
      <c r="F422" s="46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>
        <f>IF(A422="","",ROUND(B422/10000*0.25+C422/10000*0.05+D422/10000*0.05+E422/10000*0.05+IF(F422="Yes",10,IF(F422="No",0,5))*0.10+IF(G422="Yes",10,IF(G422="No",0,5))*0.05+H422*0.10+I422*0.10+J422*0.05+K422*0.05+L422*0.05+M422*0.05+N422*0.03+O422*0.02+P422*0.05,1))</f>
        <v/>
      </c>
      <c r="S422" s="46">
        <f>IF(A422="","",RANK(R422,$R$2:$R$500,0))</f>
        <v/>
      </c>
    </row>
    <row r="423" ht="22" customHeight="1">
      <c r="A423" s="48" t="n"/>
      <c r="B423" s="51" t="n"/>
      <c r="C423" s="51" t="n"/>
      <c r="D423" s="51" t="n"/>
      <c r="E423" s="51" t="n"/>
      <c r="F423" s="48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>
        <f>IF(A423="","",ROUND(B423/10000*0.25+C423/10000*0.05+D423/10000*0.05+E423/10000*0.05+IF(F423="Yes",10,IF(F423="No",0,5))*0.10+IF(G423="Yes",10,IF(G423="No",0,5))*0.05+H423*0.10+I423*0.10+J423*0.05+K423*0.05+L423*0.05+M423*0.05+N423*0.03+O423*0.02+P423*0.05,1))</f>
        <v/>
      </c>
      <c r="S423" s="48">
        <f>IF(A423="","",RANK(R423,$R$2:$R$500,0))</f>
        <v/>
      </c>
    </row>
    <row r="424" ht="22" customHeight="1">
      <c r="A424" s="46" t="n"/>
      <c r="B424" s="50" t="n"/>
      <c r="C424" s="50" t="n"/>
      <c r="D424" s="50" t="n"/>
      <c r="E424" s="50" t="n"/>
      <c r="F424" s="46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>
        <f>IF(A424="","",ROUND(B424/10000*0.25+C424/10000*0.05+D424/10000*0.05+E424/10000*0.05+IF(F424="Yes",10,IF(F424="No",0,5))*0.10+IF(G424="Yes",10,IF(G424="No",0,5))*0.05+H424*0.10+I424*0.10+J424*0.05+K424*0.05+L424*0.05+M424*0.05+N424*0.03+O424*0.02+P424*0.05,1))</f>
        <v/>
      </c>
      <c r="S424" s="46">
        <f>IF(A424="","",RANK(R424,$R$2:$R$500,0))</f>
        <v/>
      </c>
    </row>
    <row r="425" ht="22" customHeight="1">
      <c r="A425" s="48" t="n"/>
      <c r="B425" s="51" t="n"/>
      <c r="C425" s="51" t="n"/>
      <c r="D425" s="51" t="n"/>
      <c r="E425" s="51" t="n"/>
      <c r="F425" s="48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>
        <f>IF(A425="","",ROUND(B425/10000*0.25+C425/10000*0.05+D425/10000*0.05+E425/10000*0.05+IF(F425="Yes",10,IF(F425="No",0,5))*0.10+IF(G425="Yes",10,IF(G425="No",0,5))*0.05+H425*0.10+I425*0.10+J425*0.05+K425*0.05+L425*0.05+M425*0.05+N425*0.03+O425*0.02+P425*0.05,1))</f>
        <v/>
      </c>
      <c r="S425" s="48">
        <f>IF(A425="","",RANK(R425,$R$2:$R$500,0))</f>
        <v/>
      </c>
    </row>
    <row r="426" ht="22" customHeight="1">
      <c r="A426" s="46" t="n"/>
      <c r="B426" s="50" t="n"/>
      <c r="C426" s="50" t="n"/>
      <c r="D426" s="50" t="n"/>
      <c r="E426" s="50" t="n"/>
      <c r="F426" s="46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>
        <f>IF(A426="","",ROUND(B426/10000*0.25+C426/10000*0.05+D426/10000*0.05+E426/10000*0.05+IF(F426="Yes",10,IF(F426="No",0,5))*0.10+IF(G426="Yes",10,IF(G426="No",0,5))*0.05+H426*0.10+I426*0.10+J426*0.05+K426*0.05+L426*0.05+M426*0.05+N426*0.03+O426*0.02+P426*0.05,1))</f>
        <v/>
      </c>
      <c r="S426" s="46">
        <f>IF(A426="","",RANK(R426,$R$2:$R$500,0))</f>
        <v/>
      </c>
    </row>
    <row r="427" ht="22" customHeight="1">
      <c r="A427" s="48" t="n"/>
      <c r="B427" s="51" t="n"/>
      <c r="C427" s="51" t="n"/>
      <c r="D427" s="51" t="n"/>
      <c r="E427" s="51" t="n"/>
      <c r="F427" s="48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>
        <f>IF(A427="","",ROUND(B427/10000*0.25+C427/10000*0.05+D427/10000*0.05+E427/10000*0.05+IF(F427="Yes",10,IF(F427="No",0,5))*0.10+IF(G427="Yes",10,IF(G427="No",0,5))*0.05+H427*0.10+I427*0.10+J427*0.05+K427*0.05+L427*0.05+M427*0.05+N427*0.03+O427*0.02+P427*0.05,1))</f>
        <v/>
      </c>
      <c r="S427" s="48">
        <f>IF(A427="","",RANK(R427,$R$2:$R$500,0))</f>
        <v/>
      </c>
    </row>
    <row r="428" ht="22" customHeight="1">
      <c r="A428" s="46" t="n"/>
      <c r="B428" s="50" t="n"/>
      <c r="C428" s="50" t="n"/>
      <c r="D428" s="50" t="n"/>
      <c r="E428" s="50" t="n"/>
      <c r="F428" s="46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>
        <f>IF(A428="","",ROUND(B428/10000*0.25+C428/10000*0.05+D428/10000*0.05+E428/10000*0.05+IF(F428="Yes",10,IF(F428="No",0,5))*0.10+IF(G428="Yes",10,IF(G428="No",0,5))*0.05+H428*0.10+I428*0.10+J428*0.05+K428*0.05+L428*0.05+M428*0.05+N428*0.03+O428*0.02+P428*0.05,1))</f>
        <v/>
      </c>
      <c r="S428" s="46">
        <f>IF(A428="","",RANK(R428,$R$2:$R$500,0))</f>
        <v/>
      </c>
    </row>
    <row r="429" ht="22" customHeight="1">
      <c r="A429" s="48" t="n"/>
      <c r="B429" s="51" t="n"/>
      <c r="C429" s="51" t="n"/>
      <c r="D429" s="51" t="n"/>
      <c r="E429" s="51" t="n"/>
      <c r="F429" s="48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>
        <f>IF(A429="","",ROUND(B429/10000*0.25+C429/10000*0.05+D429/10000*0.05+E429/10000*0.05+IF(F429="Yes",10,IF(F429="No",0,5))*0.10+IF(G429="Yes",10,IF(G429="No",0,5))*0.05+H429*0.10+I429*0.10+J429*0.05+K429*0.05+L429*0.05+M429*0.05+N429*0.03+O429*0.02+P429*0.05,1))</f>
        <v/>
      </c>
      <c r="S429" s="48">
        <f>IF(A429="","",RANK(R429,$R$2:$R$500,0))</f>
        <v/>
      </c>
    </row>
    <row r="430" ht="22" customHeight="1">
      <c r="A430" s="46" t="n"/>
      <c r="B430" s="50" t="n"/>
      <c r="C430" s="50" t="n"/>
      <c r="D430" s="50" t="n"/>
      <c r="E430" s="50" t="n"/>
      <c r="F430" s="46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>
        <f>IF(A430="","",ROUND(B430/10000*0.25+C430/10000*0.05+D430/10000*0.05+E430/10000*0.05+IF(F430="Yes",10,IF(F430="No",0,5))*0.10+IF(G430="Yes",10,IF(G430="No",0,5))*0.05+H430*0.10+I430*0.10+J430*0.05+K430*0.05+L430*0.05+M430*0.05+N430*0.03+O430*0.02+P430*0.05,1))</f>
        <v/>
      </c>
      <c r="S430" s="46">
        <f>IF(A430="","",RANK(R430,$R$2:$R$500,0))</f>
        <v/>
      </c>
    </row>
    <row r="431" ht="22" customHeight="1">
      <c r="A431" s="48" t="n"/>
      <c r="B431" s="51" t="n"/>
      <c r="C431" s="51" t="n"/>
      <c r="D431" s="51" t="n"/>
      <c r="E431" s="51" t="n"/>
      <c r="F431" s="48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>
        <f>IF(A431="","",ROUND(B431/10000*0.25+C431/10000*0.05+D431/10000*0.05+E431/10000*0.05+IF(F431="Yes",10,IF(F431="No",0,5))*0.10+IF(G431="Yes",10,IF(G431="No",0,5))*0.05+H431*0.10+I431*0.10+J431*0.05+K431*0.05+L431*0.05+M431*0.05+N431*0.03+O431*0.02+P431*0.05,1))</f>
        <v/>
      </c>
      <c r="S431" s="48">
        <f>IF(A431="","",RANK(R431,$R$2:$R$500,0))</f>
        <v/>
      </c>
    </row>
    <row r="432" ht="22" customHeight="1">
      <c r="A432" s="46" t="n"/>
      <c r="B432" s="50" t="n"/>
      <c r="C432" s="50" t="n"/>
      <c r="D432" s="50" t="n"/>
      <c r="E432" s="50" t="n"/>
      <c r="F432" s="46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>
        <f>IF(A432="","",ROUND(B432/10000*0.25+C432/10000*0.05+D432/10000*0.05+E432/10000*0.05+IF(F432="Yes",10,IF(F432="No",0,5))*0.10+IF(G432="Yes",10,IF(G432="No",0,5))*0.05+H432*0.10+I432*0.10+J432*0.05+K432*0.05+L432*0.05+M432*0.05+N432*0.03+O432*0.02+P432*0.05,1))</f>
        <v/>
      </c>
      <c r="S432" s="46">
        <f>IF(A432="","",RANK(R432,$R$2:$R$500,0))</f>
        <v/>
      </c>
    </row>
    <row r="433" ht="22" customHeight="1">
      <c r="A433" s="48" t="n"/>
      <c r="B433" s="51" t="n"/>
      <c r="C433" s="51" t="n"/>
      <c r="D433" s="51" t="n"/>
      <c r="E433" s="51" t="n"/>
      <c r="F433" s="48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>
        <f>IF(A433="","",ROUND(B433/10000*0.25+C433/10000*0.05+D433/10000*0.05+E433/10000*0.05+IF(F433="Yes",10,IF(F433="No",0,5))*0.10+IF(G433="Yes",10,IF(G433="No",0,5))*0.05+H433*0.10+I433*0.10+J433*0.05+K433*0.05+L433*0.05+M433*0.05+N433*0.03+O433*0.02+P433*0.05,1))</f>
        <v/>
      </c>
      <c r="S433" s="48">
        <f>IF(A433="","",RANK(R433,$R$2:$R$500,0))</f>
        <v/>
      </c>
    </row>
    <row r="434" ht="22" customHeight="1">
      <c r="A434" s="46" t="n"/>
      <c r="B434" s="50" t="n"/>
      <c r="C434" s="50" t="n"/>
      <c r="D434" s="50" t="n"/>
      <c r="E434" s="50" t="n"/>
      <c r="F434" s="46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>
        <f>IF(A434="","",ROUND(B434/10000*0.25+C434/10000*0.05+D434/10000*0.05+E434/10000*0.05+IF(F434="Yes",10,IF(F434="No",0,5))*0.10+IF(G434="Yes",10,IF(G434="No",0,5))*0.05+H434*0.10+I434*0.10+J434*0.05+K434*0.05+L434*0.05+M434*0.05+N434*0.03+O434*0.02+P434*0.05,1))</f>
        <v/>
      </c>
      <c r="S434" s="46">
        <f>IF(A434="","",RANK(R434,$R$2:$R$500,0))</f>
        <v/>
      </c>
    </row>
    <row r="435" ht="22" customHeight="1">
      <c r="A435" s="48" t="n"/>
      <c r="B435" s="51" t="n"/>
      <c r="C435" s="51" t="n"/>
      <c r="D435" s="51" t="n"/>
      <c r="E435" s="51" t="n"/>
      <c r="F435" s="48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>
        <f>IF(A435="","",ROUND(B435/10000*0.25+C435/10000*0.05+D435/10000*0.05+E435/10000*0.05+IF(F435="Yes",10,IF(F435="No",0,5))*0.10+IF(G435="Yes",10,IF(G435="No",0,5))*0.05+H435*0.10+I435*0.10+J435*0.05+K435*0.05+L435*0.05+M435*0.05+N435*0.03+O435*0.02+P435*0.05,1))</f>
        <v/>
      </c>
      <c r="S435" s="48">
        <f>IF(A435="","",RANK(R435,$R$2:$R$500,0))</f>
        <v/>
      </c>
    </row>
    <row r="436" ht="22" customHeight="1">
      <c r="A436" s="46" t="n"/>
      <c r="B436" s="50" t="n"/>
      <c r="C436" s="50" t="n"/>
      <c r="D436" s="50" t="n"/>
      <c r="E436" s="50" t="n"/>
      <c r="F436" s="46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>
        <f>IF(A436="","",ROUND(B436/10000*0.25+C436/10000*0.05+D436/10000*0.05+E436/10000*0.05+IF(F436="Yes",10,IF(F436="No",0,5))*0.10+IF(G436="Yes",10,IF(G436="No",0,5))*0.05+H436*0.10+I436*0.10+J436*0.05+K436*0.05+L436*0.05+M436*0.05+N436*0.03+O436*0.02+P436*0.05,1))</f>
        <v/>
      </c>
      <c r="S436" s="46">
        <f>IF(A436="","",RANK(R436,$R$2:$R$500,0))</f>
        <v/>
      </c>
    </row>
    <row r="437" ht="22" customHeight="1">
      <c r="A437" s="48" t="n"/>
      <c r="B437" s="51" t="n"/>
      <c r="C437" s="51" t="n"/>
      <c r="D437" s="51" t="n"/>
      <c r="E437" s="51" t="n"/>
      <c r="F437" s="48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>
        <f>IF(A437="","",ROUND(B437/10000*0.25+C437/10000*0.05+D437/10000*0.05+E437/10000*0.05+IF(F437="Yes",10,IF(F437="No",0,5))*0.10+IF(G437="Yes",10,IF(G437="No",0,5))*0.05+H437*0.10+I437*0.10+J437*0.05+K437*0.05+L437*0.05+M437*0.05+N437*0.03+O437*0.02+P437*0.05,1))</f>
        <v/>
      </c>
      <c r="S437" s="48">
        <f>IF(A437="","",RANK(R437,$R$2:$R$500,0))</f>
        <v/>
      </c>
    </row>
    <row r="438" ht="22" customHeight="1">
      <c r="A438" s="46" t="n"/>
      <c r="B438" s="50" t="n"/>
      <c r="C438" s="50" t="n"/>
      <c r="D438" s="50" t="n"/>
      <c r="E438" s="50" t="n"/>
      <c r="F438" s="46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>
        <f>IF(A438="","",ROUND(B438/10000*0.25+C438/10000*0.05+D438/10000*0.05+E438/10000*0.05+IF(F438="Yes",10,IF(F438="No",0,5))*0.10+IF(G438="Yes",10,IF(G438="No",0,5))*0.05+H438*0.10+I438*0.10+J438*0.05+K438*0.05+L438*0.05+M438*0.05+N438*0.03+O438*0.02+P438*0.05,1))</f>
        <v/>
      </c>
      <c r="S438" s="46">
        <f>IF(A438="","",RANK(R438,$R$2:$R$500,0))</f>
        <v/>
      </c>
    </row>
    <row r="439" ht="22" customHeight="1">
      <c r="A439" s="48" t="n"/>
      <c r="B439" s="51" t="n"/>
      <c r="C439" s="51" t="n"/>
      <c r="D439" s="51" t="n"/>
      <c r="E439" s="51" t="n"/>
      <c r="F439" s="48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>
        <f>IF(A439="","",ROUND(B439/10000*0.25+C439/10000*0.05+D439/10000*0.05+E439/10000*0.05+IF(F439="Yes",10,IF(F439="No",0,5))*0.10+IF(G439="Yes",10,IF(G439="No",0,5))*0.05+H439*0.10+I439*0.10+J439*0.05+K439*0.05+L439*0.05+M439*0.05+N439*0.03+O439*0.02+P439*0.05,1))</f>
        <v/>
      </c>
      <c r="S439" s="48">
        <f>IF(A439="","",RANK(R439,$R$2:$R$500,0))</f>
        <v/>
      </c>
    </row>
    <row r="440" ht="22" customHeight="1">
      <c r="A440" s="46" t="n"/>
      <c r="B440" s="50" t="n"/>
      <c r="C440" s="50" t="n"/>
      <c r="D440" s="50" t="n"/>
      <c r="E440" s="50" t="n"/>
      <c r="F440" s="46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>
        <f>IF(A440="","",ROUND(B440/10000*0.25+C440/10000*0.05+D440/10000*0.05+E440/10000*0.05+IF(F440="Yes",10,IF(F440="No",0,5))*0.10+IF(G440="Yes",10,IF(G440="No",0,5))*0.05+H440*0.10+I440*0.10+J440*0.05+K440*0.05+L440*0.05+M440*0.05+N440*0.03+O440*0.02+P440*0.05,1))</f>
        <v/>
      </c>
      <c r="S440" s="46">
        <f>IF(A440="","",RANK(R440,$R$2:$R$500,0))</f>
        <v/>
      </c>
    </row>
    <row r="441" ht="22" customHeight="1">
      <c r="A441" s="48" t="n"/>
      <c r="B441" s="51" t="n"/>
      <c r="C441" s="51" t="n"/>
      <c r="D441" s="51" t="n"/>
      <c r="E441" s="51" t="n"/>
      <c r="F441" s="48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>
        <f>IF(A441="","",ROUND(B441/10000*0.25+C441/10000*0.05+D441/10000*0.05+E441/10000*0.05+IF(F441="Yes",10,IF(F441="No",0,5))*0.10+IF(G441="Yes",10,IF(G441="No",0,5))*0.05+H441*0.10+I441*0.10+J441*0.05+K441*0.05+L441*0.05+M441*0.05+N441*0.03+O441*0.02+P441*0.05,1))</f>
        <v/>
      </c>
      <c r="S441" s="48">
        <f>IF(A441="","",RANK(R441,$R$2:$R$500,0))</f>
        <v/>
      </c>
    </row>
    <row r="442" ht="22" customHeight="1">
      <c r="A442" s="46" t="n"/>
      <c r="B442" s="50" t="n"/>
      <c r="C442" s="50" t="n"/>
      <c r="D442" s="50" t="n"/>
      <c r="E442" s="50" t="n"/>
      <c r="F442" s="46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>
        <f>IF(A442="","",ROUND(B442/10000*0.25+C442/10000*0.05+D442/10000*0.05+E442/10000*0.05+IF(F442="Yes",10,IF(F442="No",0,5))*0.10+IF(G442="Yes",10,IF(G442="No",0,5))*0.05+H442*0.10+I442*0.10+J442*0.05+K442*0.05+L442*0.05+M442*0.05+N442*0.03+O442*0.02+P442*0.05,1))</f>
        <v/>
      </c>
      <c r="S442" s="46">
        <f>IF(A442="","",RANK(R442,$R$2:$R$500,0))</f>
        <v/>
      </c>
    </row>
    <row r="443" ht="22" customHeight="1">
      <c r="A443" s="48" t="n"/>
      <c r="B443" s="51" t="n"/>
      <c r="C443" s="51" t="n"/>
      <c r="D443" s="51" t="n"/>
      <c r="E443" s="51" t="n"/>
      <c r="F443" s="48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>
        <f>IF(A443="","",ROUND(B443/10000*0.25+C443/10000*0.05+D443/10000*0.05+E443/10000*0.05+IF(F443="Yes",10,IF(F443="No",0,5))*0.10+IF(G443="Yes",10,IF(G443="No",0,5))*0.05+H443*0.10+I443*0.10+J443*0.05+K443*0.05+L443*0.05+M443*0.05+N443*0.03+O443*0.02+P443*0.05,1))</f>
        <v/>
      </c>
      <c r="S443" s="48">
        <f>IF(A443="","",RANK(R443,$R$2:$R$500,0))</f>
        <v/>
      </c>
    </row>
    <row r="444" ht="22" customHeight="1">
      <c r="A444" s="46" t="n"/>
      <c r="B444" s="50" t="n"/>
      <c r="C444" s="50" t="n"/>
      <c r="D444" s="50" t="n"/>
      <c r="E444" s="50" t="n"/>
      <c r="F444" s="46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>
        <f>IF(A444="","",ROUND(B444/10000*0.25+C444/10000*0.05+D444/10000*0.05+E444/10000*0.05+IF(F444="Yes",10,IF(F444="No",0,5))*0.10+IF(G444="Yes",10,IF(G444="No",0,5))*0.05+H444*0.10+I444*0.10+J444*0.05+K444*0.05+L444*0.05+M444*0.05+N444*0.03+O444*0.02+P444*0.05,1))</f>
        <v/>
      </c>
      <c r="S444" s="46">
        <f>IF(A444="","",RANK(R444,$R$2:$R$500,0))</f>
        <v/>
      </c>
    </row>
    <row r="445" ht="22" customHeight="1">
      <c r="A445" s="48" t="n"/>
      <c r="B445" s="51" t="n"/>
      <c r="C445" s="51" t="n"/>
      <c r="D445" s="51" t="n"/>
      <c r="E445" s="51" t="n"/>
      <c r="F445" s="48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>
        <f>IF(A445="","",ROUND(B445/10000*0.25+C445/10000*0.05+D445/10000*0.05+E445/10000*0.05+IF(F445="Yes",10,IF(F445="No",0,5))*0.10+IF(G445="Yes",10,IF(G445="No",0,5))*0.05+H445*0.10+I445*0.10+J445*0.05+K445*0.05+L445*0.05+M445*0.05+N445*0.03+O445*0.02+P445*0.05,1))</f>
        <v/>
      </c>
      <c r="S445" s="48">
        <f>IF(A445="","",RANK(R445,$R$2:$R$500,0))</f>
        <v/>
      </c>
    </row>
    <row r="446" ht="22" customHeight="1">
      <c r="A446" s="46" t="n"/>
      <c r="B446" s="50" t="n"/>
      <c r="C446" s="50" t="n"/>
      <c r="D446" s="50" t="n"/>
      <c r="E446" s="50" t="n"/>
      <c r="F446" s="46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>
        <f>IF(A446="","",ROUND(B446/10000*0.25+C446/10000*0.05+D446/10000*0.05+E446/10000*0.05+IF(F446="Yes",10,IF(F446="No",0,5))*0.10+IF(G446="Yes",10,IF(G446="No",0,5))*0.05+H446*0.10+I446*0.10+J446*0.05+K446*0.05+L446*0.05+M446*0.05+N446*0.03+O446*0.02+P446*0.05,1))</f>
        <v/>
      </c>
      <c r="S446" s="46">
        <f>IF(A446="","",RANK(R446,$R$2:$R$500,0))</f>
        <v/>
      </c>
    </row>
    <row r="447" ht="22" customHeight="1">
      <c r="A447" s="48" t="n"/>
      <c r="B447" s="51" t="n"/>
      <c r="C447" s="51" t="n"/>
      <c r="D447" s="51" t="n"/>
      <c r="E447" s="51" t="n"/>
      <c r="F447" s="48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>
        <f>IF(A447="","",ROUND(B447/10000*0.25+C447/10000*0.05+D447/10000*0.05+E447/10000*0.05+IF(F447="Yes",10,IF(F447="No",0,5))*0.10+IF(G447="Yes",10,IF(G447="No",0,5))*0.05+H447*0.10+I447*0.10+J447*0.05+K447*0.05+L447*0.05+M447*0.05+N447*0.03+O447*0.02+P447*0.05,1))</f>
        <v/>
      </c>
      <c r="S447" s="48">
        <f>IF(A447="","",RANK(R447,$R$2:$R$500,0))</f>
        <v/>
      </c>
    </row>
    <row r="448" ht="22" customHeight="1">
      <c r="A448" s="46" t="n"/>
      <c r="B448" s="50" t="n"/>
      <c r="C448" s="50" t="n"/>
      <c r="D448" s="50" t="n"/>
      <c r="E448" s="50" t="n"/>
      <c r="F448" s="46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>
        <f>IF(A448="","",ROUND(B448/10000*0.25+C448/10000*0.05+D448/10000*0.05+E448/10000*0.05+IF(F448="Yes",10,IF(F448="No",0,5))*0.10+IF(G448="Yes",10,IF(G448="No",0,5))*0.05+H448*0.10+I448*0.10+J448*0.05+K448*0.05+L448*0.05+M448*0.05+N448*0.03+O448*0.02+P448*0.05,1))</f>
        <v/>
      </c>
      <c r="S448" s="46">
        <f>IF(A448="","",RANK(R448,$R$2:$R$500,0))</f>
        <v/>
      </c>
    </row>
    <row r="449" ht="22" customHeight="1">
      <c r="A449" s="48" t="n"/>
      <c r="B449" s="51" t="n"/>
      <c r="C449" s="51" t="n"/>
      <c r="D449" s="51" t="n"/>
      <c r="E449" s="51" t="n"/>
      <c r="F449" s="48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>
        <f>IF(A449="","",ROUND(B449/10000*0.25+C449/10000*0.05+D449/10000*0.05+E449/10000*0.05+IF(F449="Yes",10,IF(F449="No",0,5))*0.10+IF(G449="Yes",10,IF(G449="No",0,5))*0.05+H449*0.10+I449*0.10+J449*0.05+K449*0.05+L449*0.05+M449*0.05+N449*0.03+O449*0.02+P449*0.05,1))</f>
        <v/>
      </c>
      <c r="S449" s="48">
        <f>IF(A449="","",RANK(R449,$R$2:$R$500,0))</f>
        <v/>
      </c>
    </row>
    <row r="450" ht="22" customHeight="1">
      <c r="A450" s="46" t="n"/>
      <c r="B450" s="50" t="n"/>
      <c r="C450" s="50" t="n"/>
      <c r="D450" s="50" t="n"/>
      <c r="E450" s="50" t="n"/>
      <c r="F450" s="46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>
        <f>IF(A450="","",ROUND(B450/10000*0.25+C450/10000*0.05+D450/10000*0.05+E450/10000*0.05+IF(F450="Yes",10,IF(F450="No",0,5))*0.10+IF(G450="Yes",10,IF(G450="No",0,5))*0.05+H450*0.10+I450*0.10+J450*0.05+K450*0.05+L450*0.05+M450*0.05+N450*0.03+O450*0.02+P450*0.05,1))</f>
        <v/>
      </c>
      <c r="S450" s="46">
        <f>IF(A450="","",RANK(R450,$R$2:$R$500,0))</f>
        <v/>
      </c>
    </row>
    <row r="451" ht="22" customHeight="1">
      <c r="A451" s="48" t="n"/>
      <c r="B451" s="51" t="n"/>
      <c r="C451" s="51" t="n"/>
      <c r="D451" s="51" t="n"/>
      <c r="E451" s="51" t="n"/>
      <c r="F451" s="48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>
        <f>IF(A451="","",ROUND(B451/10000*0.25+C451/10000*0.05+D451/10000*0.05+E451/10000*0.05+IF(F451="Yes",10,IF(F451="No",0,5))*0.10+IF(G451="Yes",10,IF(G451="No",0,5))*0.05+H451*0.10+I451*0.10+J451*0.05+K451*0.05+L451*0.05+M451*0.05+N451*0.03+O451*0.02+P451*0.05,1))</f>
        <v/>
      </c>
      <c r="S451" s="48">
        <f>IF(A451="","",RANK(R451,$R$2:$R$500,0))</f>
        <v/>
      </c>
    </row>
    <row r="452" ht="22" customHeight="1">
      <c r="A452" s="46" t="n"/>
      <c r="B452" s="50" t="n"/>
      <c r="C452" s="50" t="n"/>
      <c r="D452" s="50" t="n"/>
      <c r="E452" s="50" t="n"/>
      <c r="F452" s="46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>
        <f>IF(A452="","",ROUND(B452/10000*0.25+C452/10000*0.05+D452/10000*0.05+E452/10000*0.05+IF(F452="Yes",10,IF(F452="No",0,5))*0.10+IF(G452="Yes",10,IF(G452="No",0,5))*0.05+H452*0.10+I452*0.10+J452*0.05+K452*0.05+L452*0.05+M452*0.05+N452*0.03+O452*0.02+P452*0.05,1))</f>
        <v/>
      </c>
      <c r="S452" s="46">
        <f>IF(A452="","",RANK(R452,$R$2:$R$500,0))</f>
        <v/>
      </c>
    </row>
    <row r="453" ht="22" customHeight="1">
      <c r="A453" s="48" t="n"/>
      <c r="B453" s="51" t="n"/>
      <c r="C453" s="51" t="n"/>
      <c r="D453" s="51" t="n"/>
      <c r="E453" s="51" t="n"/>
      <c r="F453" s="48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>
        <f>IF(A453="","",ROUND(B453/10000*0.25+C453/10000*0.05+D453/10000*0.05+E453/10000*0.05+IF(F453="Yes",10,IF(F453="No",0,5))*0.10+IF(G453="Yes",10,IF(G453="No",0,5))*0.05+H453*0.10+I453*0.10+J453*0.05+K453*0.05+L453*0.05+M453*0.05+N453*0.03+O453*0.02+P453*0.05,1))</f>
        <v/>
      </c>
      <c r="S453" s="48">
        <f>IF(A453="","",RANK(R453,$R$2:$R$500,0))</f>
        <v/>
      </c>
    </row>
    <row r="454" ht="22" customHeight="1">
      <c r="A454" s="46" t="n"/>
      <c r="B454" s="50" t="n"/>
      <c r="C454" s="50" t="n"/>
      <c r="D454" s="50" t="n"/>
      <c r="E454" s="50" t="n"/>
      <c r="F454" s="46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>
        <f>IF(A454="","",ROUND(B454/10000*0.25+C454/10000*0.05+D454/10000*0.05+E454/10000*0.05+IF(F454="Yes",10,IF(F454="No",0,5))*0.10+IF(G454="Yes",10,IF(G454="No",0,5))*0.05+H454*0.10+I454*0.10+J454*0.05+K454*0.05+L454*0.05+M454*0.05+N454*0.03+O454*0.02+P454*0.05,1))</f>
        <v/>
      </c>
      <c r="S454" s="46">
        <f>IF(A454="","",RANK(R454,$R$2:$R$500,0))</f>
        <v/>
      </c>
    </row>
    <row r="455" ht="22" customHeight="1">
      <c r="A455" s="48" t="n"/>
      <c r="B455" s="51" t="n"/>
      <c r="C455" s="51" t="n"/>
      <c r="D455" s="51" t="n"/>
      <c r="E455" s="51" t="n"/>
      <c r="F455" s="48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>
        <f>IF(A455="","",ROUND(B455/10000*0.25+C455/10000*0.05+D455/10000*0.05+E455/10000*0.05+IF(F455="Yes",10,IF(F455="No",0,5))*0.10+IF(G455="Yes",10,IF(G455="No",0,5))*0.05+H455*0.10+I455*0.10+J455*0.05+K455*0.05+L455*0.05+M455*0.05+N455*0.03+O455*0.02+P455*0.05,1))</f>
        <v/>
      </c>
      <c r="S455" s="48">
        <f>IF(A455="","",RANK(R455,$R$2:$R$500,0))</f>
        <v/>
      </c>
    </row>
    <row r="456" ht="22" customHeight="1">
      <c r="A456" s="46" t="n"/>
      <c r="B456" s="50" t="n"/>
      <c r="C456" s="50" t="n"/>
      <c r="D456" s="50" t="n"/>
      <c r="E456" s="50" t="n"/>
      <c r="F456" s="46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>
        <f>IF(A456="","",ROUND(B456/10000*0.25+C456/10000*0.05+D456/10000*0.05+E456/10000*0.05+IF(F456="Yes",10,IF(F456="No",0,5))*0.10+IF(G456="Yes",10,IF(G456="No",0,5))*0.05+H456*0.10+I456*0.10+J456*0.05+K456*0.05+L456*0.05+M456*0.05+N456*0.03+O456*0.02+P456*0.05,1))</f>
        <v/>
      </c>
      <c r="S456" s="46">
        <f>IF(A456="","",RANK(R456,$R$2:$R$500,0))</f>
        <v/>
      </c>
    </row>
    <row r="457" ht="22" customHeight="1">
      <c r="A457" s="48" t="n"/>
      <c r="B457" s="51" t="n"/>
      <c r="C457" s="51" t="n"/>
      <c r="D457" s="51" t="n"/>
      <c r="E457" s="51" t="n"/>
      <c r="F457" s="48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>
        <f>IF(A457="","",ROUND(B457/10000*0.25+C457/10000*0.05+D457/10000*0.05+E457/10000*0.05+IF(F457="Yes",10,IF(F457="No",0,5))*0.10+IF(G457="Yes",10,IF(G457="No",0,5))*0.05+H457*0.10+I457*0.10+J457*0.05+K457*0.05+L457*0.05+M457*0.05+N457*0.03+O457*0.02+P457*0.05,1))</f>
        <v/>
      </c>
      <c r="S457" s="48">
        <f>IF(A457="","",RANK(R457,$R$2:$R$500,0))</f>
        <v/>
      </c>
    </row>
    <row r="458" ht="22" customHeight="1">
      <c r="A458" s="46" t="n"/>
      <c r="B458" s="50" t="n"/>
      <c r="C458" s="50" t="n"/>
      <c r="D458" s="50" t="n"/>
      <c r="E458" s="50" t="n"/>
      <c r="F458" s="46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>
        <f>IF(A458="","",ROUND(B458/10000*0.25+C458/10000*0.05+D458/10000*0.05+E458/10000*0.05+IF(F458="Yes",10,IF(F458="No",0,5))*0.10+IF(G458="Yes",10,IF(G458="No",0,5))*0.05+H458*0.10+I458*0.10+J458*0.05+K458*0.05+L458*0.05+M458*0.05+N458*0.03+O458*0.02+P458*0.05,1))</f>
        <v/>
      </c>
      <c r="S458" s="46">
        <f>IF(A458="","",RANK(R458,$R$2:$R$500,0))</f>
        <v/>
      </c>
    </row>
    <row r="459" ht="22" customHeight="1">
      <c r="A459" s="48" t="n"/>
      <c r="B459" s="51" t="n"/>
      <c r="C459" s="51" t="n"/>
      <c r="D459" s="51" t="n"/>
      <c r="E459" s="51" t="n"/>
      <c r="F459" s="48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>
        <f>IF(A459="","",ROUND(B459/10000*0.25+C459/10000*0.05+D459/10000*0.05+E459/10000*0.05+IF(F459="Yes",10,IF(F459="No",0,5))*0.10+IF(G459="Yes",10,IF(G459="No",0,5))*0.05+H459*0.10+I459*0.10+J459*0.05+K459*0.05+L459*0.05+M459*0.05+N459*0.03+O459*0.02+P459*0.05,1))</f>
        <v/>
      </c>
      <c r="S459" s="48">
        <f>IF(A459="","",RANK(R459,$R$2:$R$500,0))</f>
        <v/>
      </c>
    </row>
    <row r="460" ht="22" customHeight="1">
      <c r="A460" s="46" t="n"/>
      <c r="B460" s="50" t="n"/>
      <c r="C460" s="50" t="n"/>
      <c r="D460" s="50" t="n"/>
      <c r="E460" s="50" t="n"/>
      <c r="F460" s="46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>
        <f>IF(A460="","",ROUND(B460/10000*0.25+C460/10000*0.05+D460/10000*0.05+E460/10000*0.05+IF(F460="Yes",10,IF(F460="No",0,5))*0.10+IF(G460="Yes",10,IF(G460="No",0,5))*0.05+H460*0.10+I460*0.10+J460*0.05+K460*0.05+L460*0.05+M460*0.05+N460*0.03+O460*0.02+P460*0.05,1))</f>
        <v/>
      </c>
      <c r="S460" s="46">
        <f>IF(A460="","",RANK(R460,$R$2:$R$500,0))</f>
        <v/>
      </c>
    </row>
    <row r="461" ht="22" customHeight="1">
      <c r="A461" s="48" t="n"/>
      <c r="B461" s="51" t="n"/>
      <c r="C461" s="51" t="n"/>
      <c r="D461" s="51" t="n"/>
      <c r="E461" s="51" t="n"/>
      <c r="F461" s="48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>
        <f>IF(A461="","",ROUND(B461/10000*0.25+C461/10000*0.05+D461/10000*0.05+E461/10000*0.05+IF(F461="Yes",10,IF(F461="No",0,5))*0.10+IF(G461="Yes",10,IF(G461="No",0,5))*0.05+H461*0.10+I461*0.10+J461*0.05+K461*0.05+L461*0.05+M461*0.05+N461*0.03+O461*0.02+P461*0.05,1))</f>
        <v/>
      </c>
      <c r="S461" s="48">
        <f>IF(A461="","",RANK(R461,$R$2:$R$500,0))</f>
        <v/>
      </c>
    </row>
    <row r="462" ht="22" customHeight="1">
      <c r="A462" s="46" t="n"/>
      <c r="B462" s="50" t="n"/>
      <c r="C462" s="50" t="n"/>
      <c r="D462" s="50" t="n"/>
      <c r="E462" s="50" t="n"/>
      <c r="F462" s="46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>
        <f>IF(A462="","",ROUND(B462/10000*0.25+C462/10000*0.05+D462/10000*0.05+E462/10000*0.05+IF(F462="Yes",10,IF(F462="No",0,5))*0.10+IF(G462="Yes",10,IF(G462="No",0,5))*0.05+H462*0.10+I462*0.10+J462*0.05+K462*0.05+L462*0.05+M462*0.05+N462*0.03+O462*0.02+P462*0.05,1))</f>
        <v/>
      </c>
      <c r="S462" s="46">
        <f>IF(A462="","",RANK(R462,$R$2:$R$500,0))</f>
        <v/>
      </c>
    </row>
    <row r="463" ht="22" customHeight="1">
      <c r="A463" s="48" t="n"/>
      <c r="B463" s="51" t="n"/>
      <c r="C463" s="51" t="n"/>
      <c r="D463" s="51" t="n"/>
      <c r="E463" s="51" t="n"/>
      <c r="F463" s="48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>
        <f>IF(A463="","",ROUND(B463/10000*0.25+C463/10000*0.05+D463/10000*0.05+E463/10000*0.05+IF(F463="Yes",10,IF(F463="No",0,5))*0.10+IF(G463="Yes",10,IF(G463="No",0,5))*0.05+H463*0.10+I463*0.10+J463*0.05+K463*0.05+L463*0.05+M463*0.05+N463*0.03+O463*0.02+P463*0.05,1))</f>
        <v/>
      </c>
      <c r="S463" s="48">
        <f>IF(A463="","",RANK(R463,$R$2:$R$500,0))</f>
        <v/>
      </c>
    </row>
    <row r="464" ht="22" customHeight="1">
      <c r="A464" s="46" t="n"/>
      <c r="B464" s="50" t="n"/>
      <c r="C464" s="50" t="n"/>
      <c r="D464" s="50" t="n"/>
      <c r="E464" s="50" t="n"/>
      <c r="F464" s="46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>
        <f>IF(A464="","",ROUND(B464/10000*0.25+C464/10000*0.05+D464/10000*0.05+E464/10000*0.05+IF(F464="Yes",10,IF(F464="No",0,5))*0.10+IF(G464="Yes",10,IF(G464="No",0,5))*0.05+H464*0.10+I464*0.10+J464*0.05+K464*0.05+L464*0.05+M464*0.05+N464*0.03+O464*0.02+P464*0.05,1))</f>
        <v/>
      </c>
      <c r="S464" s="46">
        <f>IF(A464="","",RANK(R464,$R$2:$R$500,0))</f>
        <v/>
      </c>
    </row>
    <row r="465" ht="22" customHeight="1">
      <c r="A465" s="48" t="n"/>
      <c r="B465" s="51" t="n"/>
      <c r="C465" s="51" t="n"/>
      <c r="D465" s="51" t="n"/>
      <c r="E465" s="51" t="n"/>
      <c r="F465" s="48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>
        <f>IF(A465="","",ROUND(B465/10000*0.25+C465/10000*0.05+D465/10000*0.05+E465/10000*0.05+IF(F465="Yes",10,IF(F465="No",0,5))*0.10+IF(G465="Yes",10,IF(G465="No",0,5))*0.05+H465*0.10+I465*0.10+J465*0.05+K465*0.05+L465*0.05+M465*0.05+N465*0.03+O465*0.02+P465*0.05,1))</f>
        <v/>
      </c>
      <c r="S465" s="48">
        <f>IF(A465="","",RANK(R465,$R$2:$R$500,0))</f>
        <v/>
      </c>
    </row>
    <row r="466" ht="22" customHeight="1">
      <c r="A466" s="46" t="n"/>
      <c r="B466" s="50" t="n"/>
      <c r="C466" s="50" t="n"/>
      <c r="D466" s="50" t="n"/>
      <c r="E466" s="50" t="n"/>
      <c r="F466" s="46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>
        <f>IF(A466="","",ROUND(B466/10000*0.25+C466/10000*0.05+D466/10000*0.05+E466/10000*0.05+IF(F466="Yes",10,IF(F466="No",0,5))*0.10+IF(G466="Yes",10,IF(G466="No",0,5))*0.05+H466*0.10+I466*0.10+J466*0.05+K466*0.05+L466*0.05+M466*0.05+N466*0.03+O466*0.02+P466*0.05,1))</f>
        <v/>
      </c>
      <c r="S466" s="46">
        <f>IF(A466="","",RANK(R466,$R$2:$R$500,0))</f>
        <v/>
      </c>
    </row>
    <row r="467" ht="22" customHeight="1">
      <c r="A467" s="48" t="n"/>
      <c r="B467" s="51" t="n"/>
      <c r="C467" s="51" t="n"/>
      <c r="D467" s="51" t="n"/>
      <c r="E467" s="51" t="n"/>
      <c r="F467" s="48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>
        <f>IF(A467="","",ROUND(B467/10000*0.25+C467/10000*0.05+D467/10000*0.05+E467/10000*0.05+IF(F467="Yes",10,IF(F467="No",0,5))*0.10+IF(G467="Yes",10,IF(G467="No",0,5))*0.05+H467*0.10+I467*0.10+J467*0.05+K467*0.05+L467*0.05+M467*0.05+N467*0.03+O467*0.02+P467*0.05,1))</f>
        <v/>
      </c>
      <c r="S467" s="48">
        <f>IF(A467="","",RANK(R467,$R$2:$R$500,0))</f>
        <v/>
      </c>
    </row>
    <row r="468" ht="22" customHeight="1">
      <c r="A468" s="46" t="n"/>
      <c r="B468" s="50" t="n"/>
      <c r="C468" s="50" t="n"/>
      <c r="D468" s="50" t="n"/>
      <c r="E468" s="50" t="n"/>
      <c r="F468" s="46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>
        <f>IF(A468="","",ROUND(B468/10000*0.25+C468/10000*0.05+D468/10000*0.05+E468/10000*0.05+IF(F468="Yes",10,IF(F468="No",0,5))*0.10+IF(G468="Yes",10,IF(G468="No",0,5))*0.05+H468*0.10+I468*0.10+J468*0.05+K468*0.05+L468*0.05+M468*0.05+N468*0.03+O468*0.02+P468*0.05,1))</f>
        <v/>
      </c>
      <c r="S468" s="46">
        <f>IF(A468="","",RANK(R468,$R$2:$R$500,0))</f>
        <v/>
      </c>
    </row>
    <row r="469" ht="22" customHeight="1">
      <c r="A469" s="48" t="n"/>
      <c r="B469" s="51" t="n"/>
      <c r="C469" s="51" t="n"/>
      <c r="D469" s="51" t="n"/>
      <c r="E469" s="51" t="n"/>
      <c r="F469" s="48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>
        <f>IF(A469="","",ROUND(B469/10000*0.25+C469/10000*0.05+D469/10000*0.05+E469/10000*0.05+IF(F469="Yes",10,IF(F469="No",0,5))*0.10+IF(G469="Yes",10,IF(G469="No",0,5))*0.05+H469*0.10+I469*0.10+J469*0.05+K469*0.05+L469*0.05+M469*0.05+N469*0.03+O469*0.02+P469*0.05,1))</f>
        <v/>
      </c>
      <c r="S469" s="48">
        <f>IF(A469="","",RANK(R469,$R$2:$R$500,0))</f>
        <v/>
      </c>
    </row>
    <row r="470" ht="22" customHeight="1">
      <c r="A470" s="46" t="n"/>
      <c r="B470" s="50" t="n"/>
      <c r="C470" s="50" t="n"/>
      <c r="D470" s="50" t="n"/>
      <c r="E470" s="50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>
        <f>IF(A470="","",ROUND(B470/10000*0.25+C470/10000*0.05+D470/10000*0.05+E470/10000*0.05+IF(F470="Yes",10,IF(F470="No",0,5))*0.10+IF(G470="Yes",10,IF(G470="No",0,5))*0.05+H470*0.10+I470*0.10+J470*0.05+K470*0.05+L470*0.05+M470*0.05+N470*0.03+O470*0.02+P470*0.05,1))</f>
        <v/>
      </c>
      <c r="S470" s="46">
        <f>IF(A470="","",RANK(R470,$R$2:$R$500,0))</f>
        <v/>
      </c>
    </row>
    <row r="471" ht="22" customHeight="1">
      <c r="A471" s="48" t="n"/>
      <c r="B471" s="51" t="n"/>
      <c r="C471" s="51" t="n"/>
      <c r="D471" s="51" t="n"/>
      <c r="E471" s="51" t="n"/>
      <c r="F471" s="48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>
        <f>IF(A471="","",ROUND(B471/10000*0.25+C471/10000*0.05+D471/10000*0.05+E471/10000*0.05+IF(F471="Yes",10,IF(F471="No",0,5))*0.10+IF(G471="Yes",10,IF(G471="No",0,5))*0.05+H471*0.10+I471*0.10+J471*0.05+K471*0.05+L471*0.05+M471*0.05+N471*0.03+O471*0.02+P471*0.05,1))</f>
        <v/>
      </c>
      <c r="S471" s="48">
        <f>IF(A471="","",RANK(R471,$R$2:$R$500,0))</f>
        <v/>
      </c>
    </row>
    <row r="472" ht="22" customHeight="1">
      <c r="A472" s="46" t="n"/>
      <c r="B472" s="50" t="n"/>
      <c r="C472" s="50" t="n"/>
      <c r="D472" s="50" t="n"/>
      <c r="E472" s="50" t="n"/>
      <c r="F472" s="46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>
        <f>IF(A472="","",ROUND(B472/10000*0.25+C472/10000*0.05+D472/10000*0.05+E472/10000*0.05+IF(F472="Yes",10,IF(F472="No",0,5))*0.10+IF(G472="Yes",10,IF(G472="No",0,5))*0.05+H472*0.10+I472*0.10+J472*0.05+K472*0.05+L472*0.05+M472*0.05+N472*0.03+O472*0.02+P472*0.05,1))</f>
        <v/>
      </c>
      <c r="S472" s="46">
        <f>IF(A472="","",RANK(R472,$R$2:$R$500,0))</f>
        <v/>
      </c>
    </row>
    <row r="473" ht="22" customHeight="1">
      <c r="A473" s="48" t="n"/>
      <c r="B473" s="51" t="n"/>
      <c r="C473" s="51" t="n"/>
      <c r="D473" s="51" t="n"/>
      <c r="E473" s="51" t="n"/>
      <c r="F473" s="48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>
        <f>IF(A473="","",ROUND(B473/10000*0.25+C473/10000*0.05+D473/10000*0.05+E473/10000*0.05+IF(F473="Yes",10,IF(F473="No",0,5))*0.10+IF(G473="Yes",10,IF(G473="No",0,5))*0.05+H473*0.10+I473*0.10+J473*0.05+K473*0.05+L473*0.05+M473*0.05+N473*0.03+O473*0.02+P473*0.05,1))</f>
        <v/>
      </c>
      <c r="S473" s="48">
        <f>IF(A473="","",RANK(R473,$R$2:$R$500,0))</f>
        <v/>
      </c>
    </row>
    <row r="474" ht="22" customHeight="1">
      <c r="A474" s="46" t="n"/>
      <c r="B474" s="50" t="n"/>
      <c r="C474" s="50" t="n"/>
      <c r="D474" s="50" t="n"/>
      <c r="E474" s="50" t="n"/>
      <c r="F474" s="46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>
        <f>IF(A474="","",ROUND(B474/10000*0.25+C474/10000*0.05+D474/10000*0.05+E474/10000*0.05+IF(F474="Yes",10,IF(F474="No",0,5))*0.10+IF(G474="Yes",10,IF(G474="No",0,5))*0.05+H474*0.10+I474*0.10+J474*0.05+K474*0.05+L474*0.05+M474*0.05+N474*0.03+O474*0.02+P474*0.05,1))</f>
        <v/>
      </c>
      <c r="S474" s="46">
        <f>IF(A474="","",RANK(R474,$R$2:$R$500,0))</f>
        <v/>
      </c>
    </row>
    <row r="475" ht="22" customHeight="1">
      <c r="A475" s="48" t="n"/>
      <c r="B475" s="51" t="n"/>
      <c r="C475" s="51" t="n"/>
      <c r="D475" s="51" t="n"/>
      <c r="E475" s="51" t="n"/>
      <c r="F475" s="48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>
        <f>IF(A475="","",ROUND(B475/10000*0.25+C475/10000*0.05+D475/10000*0.05+E475/10000*0.05+IF(F475="Yes",10,IF(F475="No",0,5))*0.10+IF(G475="Yes",10,IF(G475="No",0,5))*0.05+H475*0.10+I475*0.10+J475*0.05+K475*0.05+L475*0.05+M475*0.05+N475*0.03+O475*0.02+P475*0.05,1))</f>
        <v/>
      </c>
      <c r="S475" s="48">
        <f>IF(A475="","",RANK(R475,$R$2:$R$500,0))</f>
        <v/>
      </c>
    </row>
    <row r="476" ht="22" customHeight="1">
      <c r="A476" s="46" t="n"/>
      <c r="B476" s="50" t="n"/>
      <c r="C476" s="50" t="n"/>
      <c r="D476" s="50" t="n"/>
      <c r="E476" s="50" t="n"/>
      <c r="F476" s="46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>
        <f>IF(A476="","",ROUND(B476/10000*0.25+C476/10000*0.05+D476/10000*0.05+E476/10000*0.05+IF(F476="Yes",10,IF(F476="No",0,5))*0.10+IF(G476="Yes",10,IF(G476="No",0,5))*0.05+H476*0.10+I476*0.10+J476*0.05+K476*0.05+L476*0.05+M476*0.05+N476*0.03+O476*0.02+P476*0.05,1))</f>
        <v/>
      </c>
      <c r="S476" s="46">
        <f>IF(A476="","",RANK(R476,$R$2:$R$500,0))</f>
        <v/>
      </c>
    </row>
    <row r="477" ht="22" customHeight="1">
      <c r="A477" s="48" t="n"/>
      <c r="B477" s="51" t="n"/>
      <c r="C477" s="51" t="n"/>
      <c r="D477" s="51" t="n"/>
      <c r="E477" s="51" t="n"/>
      <c r="F477" s="48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>
        <f>IF(A477="","",ROUND(B477/10000*0.25+C477/10000*0.05+D477/10000*0.05+E477/10000*0.05+IF(F477="Yes",10,IF(F477="No",0,5))*0.10+IF(G477="Yes",10,IF(G477="No",0,5))*0.05+H477*0.10+I477*0.10+J477*0.05+K477*0.05+L477*0.05+M477*0.05+N477*0.03+O477*0.02+P477*0.05,1))</f>
        <v/>
      </c>
      <c r="S477" s="48">
        <f>IF(A477="","",RANK(R477,$R$2:$R$500,0))</f>
        <v/>
      </c>
    </row>
    <row r="478" ht="22" customHeight="1">
      <c r="A478" s="46" t="n"/>
      <c r="B478" s="50" t="n"/>
      <c r="C478" s="50" t="n"/>
      <c r="D478" s="50" t="n"/>
      <c r="E478" s="50" t="n"/>
      <c r="F478" s="46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>
        <f>IF(A478="","",ROUND(B478/10000*0.25+C478/10000*0.05+D478/10000*0.05+E478/10000*0.05+IF(F478="Yes",10,IF(F478="No",0,5))*0.10+IF(G478="Yes",10,IF(G478="No",0,5))*0.05+H478*0.10+I478*0.10+J478*0.05+K478*0.05+L478*0.05+M478*0.05+N478*0.03+O478*0.02+P478*0.05,1))</f>
        <v/>
      </c>
      <c r="S478" s="46">
        <f>IF(A478="","",RANK(R478,$R$2:$R$500,0))</f>
        <v/>
      </c>
    </row>
    <row r="479" ht="22" customHeight="1">
      <c r="A479" s="48" t="n"/>
      <c r="B479" s="51" t="n"/>
      <c r="C479" s="51" t="n"/>
      <c r="D479" s="51" t="n"/>
      <c r="E479" s="51" t="n"/>
      <c r="F479" s="48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>
        <f>IF(A479="","",ROUND(B479/10000*0.25+C479/10000*0.05+D479/10000*0.05+E479/10000*0.05+IF(F479="Yes",10,IF(F479="No",0,5))*0.10+IF(G479="Yes",10,IF(G479="No",0,5))*0.05+H479*0.10+I479*0.10+J479*0.05+K479*0.05+L479*0.05+M479*0.05+N479*0.03+O479*0.02+P479*0.05,1))</f>
        <v/>
      </c>
      <c r="S479" s="48">
        <f>IF(A479="","",RANK(R479,$R$2:$R$500,0))</f>
        <v/>
      </c>
    </row>
    <row r="480" ht="22" customHeight="1">
      <c r="A480" s="46" t="n"/>
      <c r="B480" s="50" t="n"/>
      <c r="C480" s="50" t="n"/>
      <c r="D480" s="50" t="n"/>
      <c r="E480" s="50" t="n"/>
      <c r="F480" s="46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>
        <f>IF(A480="","",ROUND(B480/10000*0.25+C480/10000*0.05+D480/10000*0.05+E480/10000*0.05+IF(F480="Yes",10,IF(F480="No",0,5))*0.10+IF(G480="Yes",10,IF(G480="No",0,5))*0.05+H480*0.10+I480*0.10+J480*0.05+K480*0.05+L480*0.05+M480*0.05+N480*0.03+O480*0.02+P480*0.05,1))</f>
        <v/>
      </c>
      <c r="S480" s="46">
        <f>IF(A480="","",RANK(R480,$R$2:$R$500,0))</f>
        <v/>
      </c>
    </row>
    <row r="481" ht="22" customHeight="1">
      <c r="A481" s="48" t="n"/>
      <c r="B481" s="51" t="n"/>
      <c r="C481" s="51" t="n"/>
      <c r="D481" s="51" t="n"/>
      <c r="E481" s="51" t="n"/>
      <c r="F481" s="48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>
        <f>IF(A481="","",ROUND(B481/10000*0.25+C481/10000*0.05+D481/10000*0.05+E481/10000*0.05+IF(F481="Yes",10,IF(F481="No",0,5))*0.10+IF(G481="Yes",10,IF(G481="No",0,5))*0.05+H481*0.10+I481*0.10+J481*0.05+K481*0.05+L481*0.05+M481*0.05+N481*0.03+O481*0.02+P481*0.05,1))</f>
        <v/>
      </c>
      <c r="S481" s="48">
        <f>IF(A481="","",RANK(R481,$R$2:$R$500,0))</f>
        <v/>
      </c>
    </row>
    <row r="482" ht="22" customHeight="1">
      <c r="A482" s="46" t="n"/>
      <c r="B482" s="50" t="n"/>
      <c r="C482" s="50" t="n"/>
      <c r="D482" s="50" t="n"/>
      <c r="E482" s="50" t="n"/>
      <c r="F482" s="46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>
        <f>IF(A482="","",ROUND(B482/10000*0.25+C482/10000*0.05+D482/10000*0.05+E482/10000*0.05+IF(F482="Yes",10,IF(F482="No",0,5))*0.10+IF(G482="Yes",10,IF(G482="No",0,5))*0.05+H482*0.10+I482*0.10+J482*0.05+K482*0.05+L482*0.05+M482*0.05+N482*0.03+O482*0.02+P482*0.05,1))</f>
        <v/>
      </c>
      <c r="S482" s="46">
        <f>IF(A482="","",RANK(R482,$R$2:$R$500,0))</f>
        <v/>
      </c>
    </row>
    <row r="483" ht="22" customHeight="1">
      <c r="A483" s="48" t="n"/>
      <c r="B483" s="51" t="n"/>
      <c r="C483" s="51" t="n"/>
      <c r="D483" s="51" t="n"/>
      <c r="E483" s="51" t="n"/>
      <c r="F483" s="48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>
        <f>IF(A483="","",ROUND(B483/10000*0.25+C483/10000*0.05+D483/10000*0.05+E483/10000*0.05+IF(F483="Yes",10,IF(F483="No",0,5))*0.10+IF(G483="Yes",10,IF(G483="No",0,5))*0.05+H483*0.10+I483*0.10+J483*0.05+K483*0.05+L483*0.05+M483*0.05+N483*0.03+O483*0.02+P483*0.05,1))</f>
        <v/>
      </c>
      <c r="S483" s="48">
        <f>IF(A483="","",RANK(R483,$R$2:$R$500,0))</f>
        <v/>
      </c>
    </row>
    <row r="484" ht="22" customHeight="1">
      <c r="A484" s="46" t="n"/>
      <c r="B484" s="50" t="n"/>
      <c r="C484" s="50" t="n"/>
      <c r="D484" s="50" t="n"/>
      <c r="E484" s="50" t="n"/>
      <c r="F484" s="46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>
        <f>IF(A484="","",ROUND(B484/10000*0.25+C484/10000*0.05+D484/10000*0.05+E484/10000*0.05+IF(F484="Yes",10,IF(F484="No",0,5))*0.10+IF(G484="Yes",10,IF(G484="No",0,5))*0.05+H484*0.10+I484*0.10+J484*0.05+K484*0.05+L484*0.05+M484*0.05+N484*0.03+O484*0.02+P484*0.05,1))</f>
        <v/>
      </c>
      <c r="S484" s="46">
        <f>IF(A484="","",RANK(R484,$R$2:$R$500,0))</f>
        <v/>
      </c>
    </row>
    <row r="485" ht="22" customHeight="1">
      <c r="A485" s="48" t="n"/>
      <c r="B485" s="51" t="n"/>
      <c r="C485" s="51" t="n"/>
      <c r="D485" s="51" t="n"/>
      <c r="E485" s="51" t="n"/>
      <c r="F485" s="48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>
        <f>IF(A485="","",ROUND(B485/10000*0.25+C485/10000*0.05+D485/10000*0.05+E485/10000*0.05+IF(F485="Yes",10,IF(F485="No",0,5))*0.10+IF(G485="Yes",10,IF(G485="No",0,5))*0.05+H485*0.10+I485*0.10+J485*0.05+K485*0.05+L485*0.05+M485*0.05+N485*0.03+O485*0.02+P485*0.05,1))</f>
        <v/>
      </c>
      <c r="S485" s="48">
        <f>IF(A485="","",RANK(R485,$R$2:$R$500,0))</f>
        <v/>
      </c>
    </row>
    <row r="486" ht="22" customHeight="1">
      <c r="A486" s="46" t="n"/>
      <c r="B486" s="50" t="n"/>
      <c r="C486" s="50" t="n"/>
      <c r="D486" s="50" t="n"/>
      <c r="E486" s="50" t="n"/>
      <c r="F486" s="46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>
        <f>IF(A486="","",ROUND(B486/10000*0.25+C486/10000*0.05+D486/10000*0.05+E486/10000*0.05+IF(F486="Yes",10,IF(F486="No",0,5))*0.10+IF(G486="Yes",10,IF(G486="No",0,5))*0.05+H486*0.10+I486*0.10+J486*0.05+K486*0.05+L486*0.05+M486*0.05+N486*0.03+O486*0.02+P486*0.05,1))</f>
        <v/>
      </c>
      <c r="S486" s="46">
        <f>IF(A486="","",RANK(R486,$R$2:$R$500,0))</f>
        <v/>
      </c>
    </row>
    <row r="487" ht="22" customHeight="1">
      <c r="A487" s="48" t="n"/>
      <c r="B487" s="51" t="n"/>
      <c r="C487" s="51" t="n"/>
      <c r="D487" s="51" t="n"/>
      <c r="E487" s="51" t="n"/>
      <c r="F487" s="48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>
        <f>IF(A487="","",ROUND(B487/10000*0.25+C487/10000*0.05+D487/10000*0.05+E487/10000*0.05+IF(F487="Yes",10,IF(F487="No",0,5))*0.10+IF(G487="Yes",10,IF(G487="No",0,5))*0.05+H487*0.10+I487*0.10+J487*0.05+K487*0.05+L487*0.05+M487*0.05+N487*0.03+O487*0.02+P487*0.05,1))</f>
        <v/>
      </c>
      <c r="S487" s="48">
        <f>IF(A487="","",RANK(R487,$R$2:$R$500,0))</f>
        <v/>
      </c>
    </row>
    <row r="488" ht="22" customHeight="1">
      <c r="A488" s="46" t="n"/>
      <c r="B488" s="50" t="n"/>
      <c r="C488" s="50" t="n"/>
      <c r="D488" s="50" t="n"/>
      <c r="E488" s="50" t="n"/>
      <c r="F488" s="46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>
        <f>IF(A488="","",ROUND(B488/10000*0.25+C488/10000*0.05+D488/10000*0.05+E488/10000*0.05+IF(F488="Yes",10,IF(F488="No",0,5))*0.10+IF(G488="Yes",10,IF(G488="No",0,5))*0.05+H488*0.10+I488*0.10+J488*0.05+K488*0.05+L488*0.05+M488*0.05+N488*0.03+O488*0.02+P488*0.05,1))</f>
        <v/>
      </c>
      <c r="S488" s="46">
        <f>IF(A488="","",RANK(R488,$R$2:$R$500,0))</f>
        <v/>
      </c>
    </row>
    <row r="489" ht="22" customHeight="1">
      <c r="A489" s="48" t="n"/>
      <c r="B489" s="51" t="n"/>
      <c r="C489" s="51" t="n"/>
      <c r="D489" s="51" t="n"/>
      <c r="E489" s="51" t="n"/>
      <c r="F489" s="48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>
        <f>IF(A489="","",ROUND(B489/10000*0.25+C489/10000*0.05+D489/10000*0.05+E489/10000*0.05+IF(F489="Yes",10,IF(F489="No",0,5))*0.10+IF(G489="Yes",10,IF(G489="No",0,5))*0.05+H489*0.10+I489*0.10+J489*0.05+K489*0.05+L489*0.05+M489*0.05+N489*0.03+O489*0.02+P489*0.05,1))</f>
        <v/>
      </c>
      <c r="S489" s="48">
        <f>IF(A489="","",RANK(R489,$R$2:$R$500,0))</f>
        <v/>
      </c>
    </row>
    <row r="490" ht="22" customHeight="1">
      <c r="A490" s="46" t="n"/>
      <c r="B490" s="50" t="n"/>
      <c r="C490" s="50" t="n"/>
      <c r="D490" s="50" t="n"/>
      <c r="E490" s="50" t="n"/>
      <c r="F490" s="46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>
        <f>IF(A490="","",ROUND(B490/10000*0.25+C490/10000*0.05+D490/10000*0.05+E490/10000*0.05+IF(F490="Yes",10,IF(F490="No",0,5))*0.10+IF(G490="Yes",10,IF(G490="No",0,5))*0.05+H490*0.10+I490*0.10+J490*0.05+K490*0.05+L490*0.05+M490*0.05+N490*0.03+O490*0.02+P490*0.05,1))</f>
        <v/>
      </c>
      <c r="S490" s="46">
        <f>IF(A490="","",RANK(R490,$R$2:$R$500,0))</f>
        <v/>
      </c>
    </row>
    <row r="491" ht="22" customHeight="1">
      <c r="A491" s="48" t="n"/>
      <c r="B491" s="51" t="n"/>
      <c r="C491" s="51" t="n"/>
      <c r="D491" s="51" t="n"/>
      <c r="E491" s="51" t="n"/>
      <c r="F491" s="48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>
        <f>IF(A491="","",ROUND(B491/10000*0.25+C491/10000*0.05+D491/10000*0.05+E491/10000*0.05+IF(F491="Yes",10,IF(F491="No",0,5))*0.10+IF(G491="Yes",10,IF(G491="No",0,5))*0.05+H491*0.10+I491*0.10+J491*0.05+K491*0.05+L491*0.05+M491*0.05+N491*0.03+O491*0.02+P491*0.05,1))</f>
        <v/>
      </c>
      <c r="S491" s="48">
        <f>IF(A491="","",RANK(R491,$R$2:$R$500,0))</f>
        <v/>
      </c>
    </row>
    <row r="492" ht="22" customHeight="1">
      <c r="A492" s="46" t="n"/>
      <c r="B492" s="50" t="n"/>
      <c r="C492" s="50" t="n"/>
      <c r="D492" s="50" t="n"/>
      <c r="E492" s="50" t="n"/>
      <c r="F492" s="46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>
        <f>IF(A492="","",ROUND(B492/10000*0.25+C492/10000*0.05+D492/10000*0.05+E492/10000*0.05+IF(F492="Yes",10,IF(F492="No",0,5))*0.10+IF(G492="Yes",10,IF(G492="No",0,5))*0.05+H492*0.10+I492*0.10+J492*0.05+K492*0.05+L492*0.05+M492*0.05+N492*0.03+O492*0.02+P492*0.05,1))</f>
        <v/>
      </c>
      <c r="S492" s="46">
        <f>IF(A492="","",RANK(R492,$R$2:$R$500,0))</f>
        <v/>
      </c>
    </row>
    <row r="493" ht="22" customHeight="1">
      <c r="A493" s="48" t="n"/>
      <c r="B493" s="51" t="n"/>
      <c r="C493" s="51" t="n"/>
      <c r="D493" s="51" t="n"/>
      <c r="E493" s="51" t="n"/>
      <c r="F493" s="48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>
        <f>IF(A493="","",ROUND(B493/10000*0.25+C493/10000*0.05+D493/10000*0.05+E493/10000*0.05+IF(F493="Yes",10,IF(F493="No",0,5))*0.10+IF(G493="Yes",10,IF(G493="No",0,5))*0.05+H493*0.10+I493*0.10+J493*0.05+K493*0.05+L493*0.05+M493*0.05+N493*0.03+O493*0.02+P493*0.05,1))</f>
        <v/>
      </c>
      <c r="S493" s="48">
        <f>IF(A493="","",RANK(R493,$R$2:$R$500,0))</f>
        <v/>
      </c>
    </row>
    <row r="494" ht="22" customHeight="1">
      <c r="A494" s="46" t="n"/>
      <c r="B494" s="50" t="n"/>
      <c r="C494" s="50" t="n"/>
      <c r="D494" s="50" t="n"/>
      <c r="E494" s="50" t="n"/>
      <c r="F494" s="46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>
        <f>IF(A494="","",ROUND(B494/10000*0.25+C494/10000*0.05+D494/10000*0.05+E494/10000*0.05+IF(F494="Yes",10,IF(F494="No",0,5))*0.10+IF(G494="Yes",10,IF(G494="No",0,5))*0.05+H494*0.10+I494*0.10+J494*0.05+K494*0.05+L494*0.05+M494*0.05+N494*0.03+O494*0.02+P494*0.05,1))</f>
        <v/>
      </c>
      <c r="S494" s="46">
        <f>IF(A494="","",RANK(R494,$R$2:$R$500,0))</f>
        <v/>
      </c>
    </row>
    <row r="495" ht="22" customHeight="1">
      <c r="A495" s="48" t="n"/>
      <c r="B495" s="51" t="n"/>
      <c r="C495" s="51" t="n"/>
      <c r="D495" s="51" t="n"/>
      <c r="E495" s="51" t="n"/>
      <c r="F495" s="48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>
        <f>IF(A495="","",ROUND(B495/10000*0.25+C495/10000*0.05+D495/10000*0.05+E495/10000*0.05+IF(F495="Yes",10,IF(F495="No",0,5))*0.10+IF(G495="Yes",10,IF(G495="No",0,5))*0.05+H495*0.10+I495*0.10+J495*0.05+K495*0.05+L495*0.05+M495*0.05+N495*0.03+O495*0.02+P495*0.05,1))</f>
        <v/>
      </c>
      <c r="S495" s="48">
        <f>IF(A495="","",RANK(R495,$R$2:$R$500,0))</f>
        <v/>
      </c>
    </row>
    <row r="496" ht="22" customHeight="1">
      <c r="A496" s="46" t="n"/>
      <c r="B496" s="50" t="n"/>
      <c r="C496" s="50" t="n"/>
      <c r="D496" s="50" t="n"/>
      <c r="E496" s="50" t="n"/>
      <c r="F496" s="46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>
        <f>IF(A496="","",ROUND(B496/10000*0.25+C496/10000*0.05+D496/10000*0.05+E496/10000*0.05+IF(F496="Yes",10,IF(F496="No",0,5))*0.10+IF(G496="Yes",10,IF(G496="No",0,5))*0.05+H496*0.10+I496*0.10+J496*0.05+K496*0.05+L496*0.05+M496*0.05+N496*0.03+O496*0.02+P496*0.05,1))</f>
        <v/>
      </c>
      <c r="S496" s="46">
        <f>IF(A496="","",RANK(R496,$R$2:$R$500,0))</f>
        <v/>
      </c>
    </row>
    <row r="497" ht="22" customHeight="1">
      <c r="A497" s="48" t="n"/>
      <c r="B497" s="51" t="n"/>
      <c r="C497" s="51" t="n"/>
      <c r="D497" s="51" t="n"/>
      <c r="E497" s="51" t="n"/>
      <c r="F497" s="48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>
        <f>IF(A497="","",ROUND(B497/10000*0.25+C497/10000*0.05+D497/10000*0.05+E497/10000*0.05+IF(F497="Yes",10,IF(F497="No",0,5))*0.10+IF(G497="Yes",10,IF(G497="No",0,5))*0.05+H497*0.10+I497*0.10+J497*0.05+K497*0.05+L497*0.05+M497*0.05+N497*0.03+O497*0.02+P497*0.05,1))</f>
        <v/>
      </c>
      <c r="S497" s="48">
        <f>IF(A497="","",RANK(R497,$R$2:$R$500,0))</f>
        <v/>
      </c>
    </row>
    <row r="498" ht="22" customHeight="1">
      <c r="A498" s="46" t="n"/>
      <c r="B498" s="50" t="n"/>
      <c r="C498" s="50" t="n"/>
      <c r="D498" s="50" t="n"/>
      <c r="E498" s="50" t="n"/>
      <c r="F498" s="46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>
        <f>IF(A498="","",ROUND(B498/10000*0.25+C498/10000*0.05+D498/10000*0.05+E498/10000*0.05+IF(F498="Yes",10,IF(F498="No",0,5))*0.10+IF(G498="Yes",10,IF(G498="No",0,5))*0.05+H498*0.10+I498*0.10+J498*0.05+K498*0.05+L498*0.05+M498*0.05+N498*0.03+O498*0.02+P498*0.05,1))</f>
        <v/>
      </c>
      <c r="S498" s="46">
        <f>IF(A498="","",RANK(R498,$R$2:$R$500,0))</f>
        <v/>
      </c>
    </row>
    <row r="499" ht="22" customHeight="1">
      <c r="A499" s="48" t="n"/>
      <c r="B499" s="51" t="n"/>
      <c r="C499" s="51" t="n"/>
      <c r="D499" s="51" t="n"/>
      <c r="E499" s="51" t="n"/>
      <c r="F499" s="48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>
        <f>IF(A499="","",ROUND(B499/10000*0.25+C499/10000*0.05+D499/10000*0.05+E499/10000*0.05+IF(F499="Yes",10,IF(F499="No",0,5))*0.10+IF(G499="Yes",10,IF(G499="No",0,5))*0.05+H499*0.10+I499*0.10+J499*0.05+K499*0.05+L499*0.05+M499*0.05+N499*0.03+O499*0.02+P499*0.05,1))</f>
        <v/>
      </c>
      <c r="S499" s="48">
        <f>IF(A499="","",RANK(R499,$R$2:$R$500,0))</f>
        <v/>
      </c>
    </row>
    <row r="500" ht="22" customHeight="1">
      <c r="A500" s="46" t="n"/>
      <c r="B500" s="50" t="n"/>
      <c r="C500" s="50" t="n"/>
      <c r="D500" s="50" t="n"/>
      <c r="E500" s="50" t="n"/>
      <c r="F500" s="46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>
        <f>IF(A500="","",ROUND(B500/10000*0.25+C500/10000*0.05+D500/10000*0.05+E500/10000*0.05+IF(F500="Yes",10,IF(F500="No",0,5))*0.10+IF(G500="Yes",10,IF(G500="No",0,5))*0.05+H500*0.10+I500*0.10+J500*0.05+K500*0.05+L500*0.05+M500*0.05+N500*0.03+O500*0.02+P500*0.05,1))</f>
        <v/>
      </c>
      <c r="S500" s="46">
        <f>IF(A500="","",RANK(R500,$R$2:$R$500,0))</f>
        <v/>
      </c>
    </row>
  </sheetData>
  <autoFilter ref="A1:S500"/>
  <conditionalFormatting sqref="S2:S500">
    <cfRule type="cellIs" priority="1" operator="equal" dxfId="3">
      <formula>1</formula>
    </cfRule>
  </conditionalFormatting>
  <conditionalFormatting sqref="R2:R500">
    <cfRule type="dataBar" priority="2">
      <dataBar>
        <cfvo type="num" val="0"/>
        <cfvo type="num" val="100"/>
        <color rgb="004A7FDB"/>
      </dataBar>
    </cfRule>
  </conditionalFormatting>
  <dataValidations count="11">
    <dataValidation sqref="F2:F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G2:G500" showDropDown="0" showInputMessage="0" showErrorMessage="0" allowBlank="1" errorTitle="Invalid Entry" error="Please select a value from the dropdown" promptTitle="Choose" prompt="Select from dropdown" type="list">
      <formula1>"Yes,No"</formula1>
    </dataValidation>
    <dataValidation sqref="H2:H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I2:I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J2:J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K2:K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L2:L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M2:M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N2:N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O2:O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  <dataValidation sqref="P2:P500" showDropDown="0" showInputMessage="0" showErrorMessage="0" allowBlank="1" errorTitle="Invalid Entry" error="Please select a value from the dropdown" promptTitle="Choose" prompt="Select from dropdown" type="list">
      <formula1>"1,2,3,4,5,6,7,8,9,10"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2026-06-28T21:13:16Z</dcterms:created>
  <dcterms:modified xmlns:dcterms="http://purl.org/dc/terms/" xmlns:xsi="http://www.w3.org/2001/XMLSchema-instance" xsi:type="dcterms:W3CDTF">2026-06-29T18:09:06Z</dcterms:modified>
</cp:coreProperties>
</file>